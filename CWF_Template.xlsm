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utsedu-my.sharepoint.com/personal/allan_bechara_student_uts_edu_au/Documents/Documents/"/>
    </mc:Choice>
  </mc:AlternateContent>
  <xr:revisionPtr revIDLastSave="0" documentId="8_{FDC9F247-25F0-4981-89D9-61E05B4FCFE8}" xr6:coauthVersionLast="47" xr6:coauthVersionMax="47" xr10:uidLastSave="{00000000-0000-0000-0000-000000000000}"/>
  <bookViews>
    <workbookView xWindow="6285" yWindow="3195" windowWidth="28785" windowHeight="15435" tabRatio="888" activeTab="1" xr2:uid="{00000000-000D-0000-FFFF-FFFF00000000}"/>
  </bookViews>
  <sheets>
    <sheet name="Template Selection" sheetId="13" r:id="rId1"/>
    <sheet name="Inputs and assumptions " sheetId="1" r:id="rId2"/>
    <sheet name="Summary Page for Building Data" sheetId="4" r:id="rId3"/>
    <sheet name="Optimize Contribution" sheetId="2" r:id="rId4"/>
    <sheet name="Summary" sheetId="3" r:id="rId5"/>
    <sheet name="Future Value Calculator" sheetId="5" r:id="rId6"/>
    <sheet name="Splits - Info" sheetId="6" state="hidden" r:id="rId7"/>
    <sheet name="Contribution Splits" sheetId="7" state="hidden" r:id="rId8"/>
    <sheet name="shtbl1" sheetId="46" state="hidden" r:id="rId9"/>
    <sheet name="shtbl2" sheetId="47" state="hidden" r:id="rId10"/>
    <sheet name="shtbl3" sheetId="48" state="hidden" r:id="rId11"/>
    <sheet name="shtbl4" sheetId="49" state="hidden" r:id="rId12"/>
    <sheet name="shtbl5" sheetId="50" state="hidden" r:id="rId13"/>
    <sheet name="shtbl6" sheetId="51" state="hidden" r:id="rId14"/>
    <sheet name="shtbl7" sheetId="52" state="hidden" r:id="rId15"/>
    <sheet name="shtbl8" sheetId="53" state="hidden" r:id="rId16"/>
    <sheet name="shtbl9" sheetId="54" state="hidden" r:id="rId17"/>
    <sheet name="shtbl10" sheetId="55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B8" i="2"/>
  <c r="B9" i="2" s="1"/>
  <c r="B10" i="2" s="1"/>
  <c r="B11" i="2" s="1"/>
  <c r="B12" i="2" s="1"/>
  <c r="B13" i="2" s="1"/>
  <c r="B14" i="2" s="1"/>
  <c r="B15" i="2" s="1"/>
  <c r="B16" i="2" s="1"/>
  <c r="B17" i="2" s="1"/>
  <c r="AC18" i="4"/>
  <c r="AC21" i="4"/>
  <c r="AC24" i="4"/>
  <c r="AC26" i="4"/>
  <c r="AC27" i="4"/>
  <c r="AC29" i="4"/>
  <c r="AC30" i="4"/>
  <c r="AC31" i="4"/>
  <c r="AC32" i="4"/>
  <c r="AC33" i="4"/>
  <c r="AC36" i="4"/>
  <c r="AC37" i="4"/>
  <c r="AC38" i="4"/>
  <c r="AC40" i="4"/>
  <c r="AC41" i="4"/>
  <c r="AC43" i="4"/>
  <c r="AC46" i="4"/>
  <c r="AC15" i="4"/>
  <c r="F34" i="4"/>
  <c r="AC34" i="4" s="1"/>
  <c r="F38" i="4"/>
  <c r="F42" i="4"/>
  <c r="AC42" i="4" s="1"/>
  <c r="F25" i="4"/>
  <c r="AC25" i="4" s="1"/>
  <c r="F23" i="4"/>
  <c r="AC23" i="4" s="1"/>
  <c r="F22" i="4"/>
  <c r="AC22" i="4" s="1"/>
  <c r="F20" i="4"/>
  <c r="AC20" i="4" s="1"/>
  <c r="F19" i="4"/>
  <c r="AC19" i="4" s="1"/>
  <c r="F17" i="4"/>
  <c r="AC17" i="4" s="1"/>
  <c r="F16" i="4"/>
  <c r="AC16" i="4" s="1"/>
  <c r="F13" i="4"/>
  <c r="F12" i="4"/>
  <c r="F10" i="4"/>
  <c r="F9" i="4"/>
  <c r="F11" i="4"/>
  <c r="F7" i="4"/>
  <c r="F10" i="2" l="1"/>
  <c r="F11" i="2"/>
  <c r="F12" i="2"/>
  <c r="F13" i="2"/>
  <c r="F14" i="2"/>
  <c r="F15" i="2"/>
  <c r="F17" i="2"/>
  <c r="F16" i="2"/>
  <c r="F9" i="2"/>
  <c r="G7" i="2"/>
  <c r="C2" i="7" l="1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B3" i="7"/>
  <c r="B5" i="7" s="1"/>
  <c r="C3" i="7"/>
  <c r="C5" i="7" s="1"/>
  <c r="D3" i="7"/>
  <c r="D5" i="7" s="1"/>
  <c r="E3" i="7"/>
  <c r="E5" i="7" s="1"/>
  <c r="F3" i="7"/>
  <c r="F5" i="7" s="1"/>
  <c r="G3" i="7"/>
  <c r="G5" i="7" s="1"/>
  <c r="H3" i="7"/>
  <c r="H5" i="7" s="1"/>
  <c r="I3" i="7"/>
  <c r="I5" i="7" s="1"/>
  <c r="J3" i="7"/>
  <c r="J5" i="7" s="1"/>
  <c r="K3" i="7"/>
  <c r="K5" i="7" s="1"/>
  <c r="L3" i="7"/>
  <c r="L5" i="7" s="1"/>
  <c r="M3" i="7"/>
  <c r="M5" i="7" s="1"/>
  <c r="N3" i="7"/>
  <c r="N5" i="7" s="1"/>
  <c r="O3" i="7"/>
  <c r="O5" i="7" s="1"/>
  <c r="P3" i="7"/>
  <c r="P5" i="7" s="1"/>
  <c r="Q3" i="7"/>
  <c r="Q5" i="7" s="1"/>
  <c r="R3" i="7"/>
  <c r="R5" i="7" s="1"/>
  <c r="S3" i="7"/>
  <c r="S5" i="7" s="1"/>
  <c r="T3" i="7"/>
  <c r="T5" i="7" s="1"/>
  <c r="U3" i="7"/>
  <c r="U5" i="7" s="1"/>
  <c r="V3" i="7"/>
  <c r="V5" i="7" s="1"/>
  <c r="W3" i="7"/>
  <c r="W5" i="7" s="1"/>
  <c r="X3" i="7"/>
  <c r="X5" i="7" s="1"/>
  <c r="Y3" i="7"/>
  <c r="Y5" i="7" s="1"/>
  <c r="Z3" i="7"/>
  <c r="Z5" i="7" s="1"/>
  <c r="AA3" i="7"/>
  <c r="AA5" i="7" s="1"/>
  <c r="AB3" i="7"/>
  <c r="AB5" i="7" s="1"/>
  <c r="AC3" i="7"/>
  <c r="AC5" i="7" s="1"/>
  <c r="AD3" i="7"/>
  <c r="AD5" i="7" s="1"/>
  <c r="AE3" i="7"/>
  <c r="AE5" i="7" s="1"/>
  <c r="B24" i="7" l="1"/>
  <c r="C24" i="7"/>
  <c r="K15" i="7" l="1"/>
  <c r="M15" i="7" s="1"/>
  <c r="K17" i="7"/>
  <c r="M17" i="7" s="1"/>
  <c r="K18" i="7"/>
  <c r="M18" i="7" s="1"/>
  <c r="K22" i="7"/>
  <c r="M22" i="7" s="1"/>
  <c r="K23" i="7"/>
  <c r="M23" i="7" s="1"/>
  <c r="K14" i="7"/>
  <c r="L14" i="7" s="1"/>
  <c r="L15" i="7" l="1"/>
  <c r="L23" i="7"/>
  <c r="M14" i="7"/>
  <c r="K20" i="7"/>
  <c r="K16" i="7"/>
  <c r="L18" i="7"/>
  <c r="L17" i="7"/>
  <c r="K19" i="7"/>
  <c r="L22" i="7"/>
  <c r="K21" i="7"/>
  <c r="M21" i="7" l="1"/>
  <c r="L21" i="7"/>
  <c r="M20" i="7"/>
  <c r="L20" i="7"/>
  <c r="L19" i="7"/>
  <c r="M19" i="7"/>
  <c r="L16" i="7"/>
  <c r="M16" i="7"/>
  <c r="AC13" i="3" l="1"/>
  <c r="AB13" i="3"/>
  <c r="AA13" i="3"/>
  <c r="Z13" i="3"/>
  <c r="Y13" i="3"/>
  <c r="X13" i="3"/>
  <c r="W13" i="3"/>
  <c r="AC12" i="3"/>
  <c r="AB12" i="3"/>
  <c r="AA12" i="3"/>
  <c r="Z12" i="3"/>
  <c r="Y12" i="3"/>
  <c r="X12" i="3"/>
  <c r="W12" i="3"/>
  <c r="P13" i="3" l="1"/>
  <c r="V13" i="3"/>
  <c r="S13" i="3"/>
  <c r="R13" i="3"/>
  <c r="O13" i="3"/>
  <c r="T13" i="3" l="1"/>
  <c r="Q13" i="3"/>
  <c r="U13" i="3"/>
  <c r="E6" i="2" l="1"/>
  <c r="C8" i="5"/>
  <c r="D27" i="3"/>
  <c r="D13" i="3"/>
  <c r="I13" i="3"/>
  <c r="F13" i="3"/>
  <c r="E7" i="2"/>
  <c r="J6" i="2"/>
  <c r="H6" i="2"/>
  <c r="C14" i="1"/>
  <c r="D12" i="3" s="1"/>
  <c r="E17" i="2" l="1"/>
  <c r="N12" i="3" s="1"/>
  <c r="E9" i="2"/>
  <c r="F12" i="3" s="1"/>
  <c r="E10" i="2"/>
  <c r="G12" i="3" s="1"/>
  <c r="E11" i="2"/>
  <c r="H12" i="3" s="1"/>
  <c r="E12" i="2"/>
  <c r="I12" i="3" s="1"/>
  <c r="E13" i="2"/>
  <c r="J12" i="3" s="1"/>
  <c r="E14" i="2"/>
  <c r="K12" i="3" s="1"/>
  <c r="E15" i="2"/>
  <c r="L12" i="3" s="1"/>
  <c r="E16" i="2"/>
  <c r="M12" i="3" s="1"/>
  <c r="E8" i="2"/>
  <c r="H17" i="2"/>
  <c r="K17" i="2" s="1"/>
  <c r="H16" i="2"/>
  <c r="K16" i="2" s="1"/>
  <c r="H15" i="2"/>
  <c r="K15" i="2" s="1"/>
  <c r="H14" i="2"/>
  <c r="K14" i="2" s="1"/>
  <c r="H13" i="2"/>
  <c r="K13" i="2" s="1"/>
  <c r="H12" i="2"/>
  <c r="K12" i="2" s="1"/>
  <c r="H11" i="2"/>
  <c r="K11" i="2" s="1"/>
  <c r="H10" i="2"/>
  <c r="K10" i="2" s="1"/>
  <c r="H9" i="2"/>
  <c r="K9" i="2" s="1"/>
  <c r="H8" i="2"/>
  <c r="K8" i="2" s="1"/>
  <c r="R12" i="3"/>
  <c r="Q12" i="3"/>
  <c r="O12" i="3"/>
  <c r="P12" i="3"/>
  <c r="H7" i="2"/>
  <c r="K7" i="2" s="1"/>
  <c r="S12" i="3"/>
  <c r="T12" i="3"/>
  <c r="V12" i="3"/>
  <c r="U12" i="3"/>
  <c r="D9" i="3"/>
  <c r="L13" i="3"/>
  <c r="N13" i="3"/>
  <c r="H13" i="3"/>
  <c r="J13" i="3"/>
  <c r="E13" i="3"/>
  <c r="M13" i="3"/>
  <c r="G13" i="3"/>
  <c r="K13" i="3"/>
  <c r="J7" i="2" l="1"/>
  <c r="C8" i="2" s="1"/>
  <c r="I8" i="2" s="1"/>
  <c r="J8" i="2" s="1"/>
  <c r="C9" i="2" s="1"/>
  <c r="I9" i="2" s="1"/>
  <c r="J9" i="2" s="1"/>
  <c r="C10" i="2" s="1"/>
  <c r="I10" i="2" s="1"/>
  <c r="C15" i="1"/>
  <c r="E12" i="3"/>
  <c r="J10" i="2" l="1"/>
  <c r="C11" i="2" s="1"/>
  <c r="I11" i="2" s="1"/>
  <c r="J11" i="2" s="1"/>
  <c r="C12" i="2" s="1"/>
  <c r="I12" i="2" s="1"/>
  <c r="J12" i="2" s="1"/>
  <c r="C13" i="2" s="1"/>
  <c r="I13" i="2" s="1"/>
  <c r="J13" i="2" s="1"/>
  <c r="C14" i="2" s="1"/>
  <c r="I14" i="2" s="1"/>
  <c r="J14" i="2" s="1"/>
  <c r="C15" i="2" s="1"/>
  <c r="I15" i="2" s="1"/>
  <c r="J15" i="2" s="1"/>
  <c r="C16" i="2" s="1"/>
  <c r="I16" i="2" s="1"/>
  <c r="J16" i="2" s="1"/>
  <c r="C17" i="2" s="1"/>
  <c r="I17" i="2" s="1"/>
  <c r="J17" i="2" s="1"/>
  <c r="F45" i="4"/>
  <c r="AC45" i="4" s="1"/>
  <c r="F44" i="4"/>
  <c r="AC44" i="4" s="1"/>
  <c r="F39" i="4"/>
  <c r="AC39" i="4" s="1"/>
  <c r="F35" i="4"/>
  <c r="AC35" i="4" s="1"/>
  <c r="F28" i="4"/>
  <c r="AC28" i="4" s="1"/>
  <c r="F14" i="4"/>
  <c r="F47" i="4" l="1"/>
  <c r="AC47" i="4" s="1"/>
  <c r="M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Joseph:</t>
        </r>
        <r>
          <rPr>
            <sz val="9"/>
            <color indexed="81"/>
            <rFont val="Tahoma"/>
            <family val="2"/>
          </rPr>
          <t xml:space="preserve">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Joseph: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is important because the detailed report needs to show the Value ($) including CPI, at the end of each year.
</t>
        </r>
        <r>
          <rPr>
            <sz val="9"/>
            <color rgb="FF000000"/>
            <rFont val="Tahoma"/>
            <family val="2"/>
          </rPr>
          <t>Eg. In year 4 and then again in year 12</t>
        </r>
      </text>
    </comment>
  </commentList>
</comments>
</file>

<file path=xl/sharedStrings.xml><?xml version="1.0" encoding="utf-8"?>
<sst xmlns="http://schemas.openxmlformats.org/spreadsheetml/2006/main" count="497" uniqueCount="237">
  <si>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</si>
  <si>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</si>
  <si>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</si>
  <si>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</si>
  <si>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</si>
  <si>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Building Name</t>
  </si>
  <si>
    <t>Strata Plan Number</t>
  </si>
  <si>
    <t>Current Sinking Fund Balance</t>
  </si>
  <si>
    <t>Registered for GST</t>
  </si>
  <si>
    <t>No</t>
  </si>
  <si>
    <t xml:space="preserve">GST </t>
  </si>
  <si>
    <t>Total Sinking Fund Levy Per Annum</t>
  </si>
  <si>
    <t>Amount Currently Collected Per Lot/Per Annum</t>
  </si>
  <si>
    <t>This information is not being pulled into the Optimized Contribution Tab</t>
  </si>
  <si>
    <t>Total Capital Works Required</t>
  </si>
  <si>
    <t>this informtion needs to be pulled from Optimized Contribution Tab</t>
  </si>
  <si>
    <t>Prepared on Behalf of</t>
  </si>
  <si>
    <t>Date of Inspection</t>
  </si>
  <si>
    <t xml:space="preserve">Weather Condition </t>
  </si>
  <si>
    <t>Prepared By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</si>
  <si>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</si>
  <si>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</si>
  <si>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</si>
  <si>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</si>
  <si>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</si>
  <si>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</si>
  <si>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</si>
  <si>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Yes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</si>
  <si>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</si>
  <si>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</si>
  <si>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</si>
  <si>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</si>
  <si>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</si>
  <si>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</si>
  <si>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</si>
  <si>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Expenses</t>
  </si>
  <si>
    <t>Closing Balance</t>
  </si>
  <si>
    <t>Interest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</si>
  <si>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</si>
  <si>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</si>
  <si>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</si>
  <si>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</si>
  <si>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</si>
  <si>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</si>
  <si>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</si>
  <si>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</si>
  <si>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</si>
  <si>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</si>
  <si>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I+J</t>
  </si>
  <si>
    <t>C+D-G-H</t>
  </si>
  <si>
    <t>Closing Balance Goal</t>
  </si>
  <si>
    <t>Average Closing Balance</t>
  </si>
  <si>
    <t xml:space="preserve">This information is taken from Future Value Calculator page - Summary of total required in any given year </t>
  </si>
  <si>
    <t>Scope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</si>
  <si>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</si>
  <si>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</si>
  <si>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</si>
  <si>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</si>
  <si>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</si>
  <si>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</si>
  <si>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</si>
  <si>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</si>
  <si>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</si>
  <si>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</si>
  <si>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</si>
  <si>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</si>
  <si>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</si>
  <si>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</si>
  <si>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</si>
  <si>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</si>
  <si>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>Items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</si>
  <si>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</si>
  <si>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</si>
  <si>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</si>
  <si>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</si>
  <si>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</si>
  <si>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</si>
  <si>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</si>
  <si>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</si>
  <si>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</si>
  <si>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</si>
  <si>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</si>
  <si>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Building exterior</t>
  </si>
  <si>
    <t>Repaint building exterior &amp; sections of rendered façade</t>
  </si>
  <si>
    <t>Repaint balcony ceilings and roof eaves lining</t>
  </si>
  <si>
    <t>Repaint porch ceilings and FC sheeting above townhouse doors</t>
  </si>
  <si>
    <t>m2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</si>
  <si>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</si>
  <si>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</si>
  <si>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</si>
  <si>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</si>
  <si>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</si>
  <si>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Plumbing and drainage maintenance to apartments and townhouses</t>
  </si>
  <si>
    <t>General building maintenance to apartments and townhouses</t>
  </si>
  <si>
    <t>Subtotal</t>
  </si>
  <si>
    <t>Roof</t>
  </si>
  <si>
    <t>Maintain concrete roof tiles (total 1892 m2 - 10%)</t>
  </si>
  <si>
    <t>Roof flashing maintenance &amp; replacement programme as required</t>
  </si>
  <si>
    <t>Stairwells 13-19 &amp; 15-22</t>
  </si>
  <si>
    <t>Repaint ceilings</t>
  </si>
  <si>
    <t>Repaint walls</t>
  </si>
  <si>
    <t>Repaint doors and metal door jamb</t>
  </si>
  <si>
    <t>Replacement of black non slip velcro strips to entry terracotta steps</t>
  </si>
  <si>
    <t>Basement and Driveway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</si>
  <si>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</si>
  <si>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</si>
  <si>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</si>
  <si>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</si>
  <si>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</si>
  <si>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Fences , gates and fittings to common property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</si>
  <si>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</si>
  <si>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</si>
  <si>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</si>
  <si>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</si>
  <si>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</si>
  <si>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</si>
  <si>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</si>
  <si>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</si>
  <si>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</si>
  <si>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</si>
  <si>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what we need to translate/merge into the word document is the cost of any item, in the year it is due - taken from columns G &amp; H from the Summary Page</t>
  </si>
  <si>
    <t>Compounding periods a year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</si>
  <si>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</si>
  <si>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</si>
  <si>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</si>
  <si>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</si>
  <si>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</si>
  <si>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</si>
  <si>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</si>
  <si>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</si>
  <si>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Contribution Splits</t>
  </si>
  <si>
    <t>Average</t>
  </si>
  <si>
    <t>Recommended Contributions</t>
  </si>
  <si>
    <t>Present Total Cost Over 10 Years</t>
  </si>
  <si>
    <t>Please Select Template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</si>
  <si>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</si>
  <si>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</si>
  <si>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</si>
  <si>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</si>
  <si>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</si>
  <si>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</si>
  <si>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</si>
  <si>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</si>
  <si>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</si>
  <si>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</si>
  <si>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Name</t>
  </si>
  <si>
    <t>TEST</t>
  </si>
  <si>
    <t>shtbl5</t>
  </si>
  <si>
    <t>shtbl6</t>
  </si>
  <si>
    <t>shtbl7</t>
  </si>
  <si>
    <t>shtbl8</t>
  </si>
  <si>
    <t>shtbl9</t>
  </si>
  <si>
    <t>shtbl10</t>
  </si>
  <si>
    <t>Splits - Info</t>
  </si>
  <si>
    <t>shtbl1</t>
  </si>
  <si>
    <t>shtbl2</t>
  </si>
  <si>
    <t>shtbl3</t>
  </si>
  <si>
    <t>shtbl4</t>
  </si>
  <si>
    <t>Capital Works Fund Forecast</t>
  </si>
  <si>
    <t>Current</t>
  </si>
  <si>
    <t>Contribution Increase Rate</t>
  </si>
  <si>
    <t>Recommendation Contribution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</si>
  <si>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</si>
  <si>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</si>
  <si>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Wollongong Strata</t>
  </si>
  <si>
    <t>Hill Strata Solutions</t>
  </si>
  <si>
    <t>Fabos Strata</t>
  </si>
  <si>
    <t>Jamesons Strata</t>
  </si>
  <si>
    <t>Illawarra Strata</t>
  </si>
  <si>
    <t>Strathfield Partners</t>
  </si>
  <si>
    <t>Bay Strata</t>
  </si>
  <si>
    <t>Whelan Property</t>
  </si>
  <si>
    <t>Strata Only</t>
  </si>
  <si>
    <t>Eastern Star Strata</t>
  </si>
  <si>
    <t>Total Estimated Yearly Expenses With 3% CPI - Includes GST</t>
  </si>
  <si>
    <t>Kooper &amp; Levi</t>
  </si>
  <si>
    <t>C.F Strata Management</t>
  </si>
  <si>
    <t>Premium Strata</t>
  </si>
  <si>
    <t>Strata Sense</t>
  </si>
  <si>
    <t>Conti Strata</t>
  </si>
  <si>
    <t>Vital Strata</t>
  </si>
  <si>
    <t>Net Strata</t>
  </si>
  <si>
    <t>Clear</t>
  </si>
  <si>
    <t>MY StrataCare</t>
  </si>
  <si>
    <t>Date Strata Plan Registered</t>
  </si>
  <si>
    <t>Roofing</t>
  </si>
  <si>
    <t>Number of Lots</t>
  </si>
  <si>
    <t>Number of Unit Entitlements</t>
  </si>
  <si>
    <t>K</t>
  </si>
  <si>
    <t>Grand Total</t>
  </si>
  <si>
    <t>Just add new strata companies below the current ones, it will pull them</t>
  </si>
  <si>
    <t>Specialist reports required as per DPBA</t>
  </si>
  <si>
    <t>Plumbing system and pipe repair allowance</t>
  </si>
  <si>
    <t>Joseph Bechara</t>
  </si>
  <si>
    <t>Structural</t>
  </si>
  <si>
    <t>item</t>
  </si>
  <si>
    <t>Exterior finishes</t>
  </si>
  <si>
    <t>Repaint internal lobby walls / ceilings (x2 Stairwells)</t>
  </si>
  <si>
    <t>ea</t>
  </si>
  <si>
    <t>Doors &amp; windows</t>
  </si>
  <si>
    <t>Door and window hardware</t>
  </si>
  <si>
    <t>Re-cement / re-point ridge capping</t>
  </si>
  <si>
    <t>Electrical</t>
  </si>
  <si>
    <t>Lighting to common areas - upgrade as needed</t>
  </si>
  <si>
    <t>Switchboard inspection &amp; upgrade - main electrical cupboard</t>
  </si>
  <si>
    <t>Plumbing</t>
  </si>
  <si>
    <t>HVAC</t>
  </si>
  <si>
    <t>Fire safety</t>
  </si>
  <si>
    <t>Active and passive fire system upgrades</t>
  </si>
  <si>
    <t>Lifts &amp; escalators</t>
  </si>
  <si>
    <t>Technology</t>
  </si>
  <si>
    <t>Security</t>
  </si>
  <si>
    <t>Accessibility</t>
  </si>
  <si>
    <t>Landscaping</t>
  </si>
  <si>
    <t>Amenities</t>
  </si>
  <si>
    <t>Furnishings</t>
  </si>
  <si>
    <t>Carpet and underlay replacement (x2 Stairwells)</t>
  </si>
  <si>
    <t>Car parking</t>
  </si>
  <si>
    <t>Waterproofing</t>
  </si>
  <si>
    <t>Other</t>
  </si>
  <si>
    <t>Sustainability infrastructure upgrades</t>
  </si>
  <si>
    <t xml:space="preserve">Repaint timber entrance doors to stairwells (x2) </t>
  </si>
  <si>
    <t>Delete Row?</t>
  </si>
  <si>
    <t>Repaint roof soffit (approx. 90 m2)</t>
  </si>
  <si>
    <t>Gutters, valleys, flashing and downpipe - repairs as needed</t>
  </si>
  <si>
    <t>62 Alexandra Street</t>
  </si>
  <si>
    <t>HUNTERS HILL</t>
  </si>
  <si>
    <t>SP 3505</t>
  </si>
  <si>
    <t xml:space="preserve">Repaint Internal timber doors and frames to units (x12) </t>
  </si>
  <si>
    <t>Repaint external timber windows and frames (total 72)</t>
  </si>
  <si>
    <t>Brick pointing / slab minor repair allowance</t>
  </si>
  <si>
    <t>Repaint external balcony soffits / columns / metal top rails</t>
  </si>
  <si>
    <t xml:space="preserve">Garage doors - replace/repair as needed </t>
  </si>
  <si>
    <t xml:space="preserve">Boundary fences - 50% shared cost </t>
  </si>
  <si>
    <t>Bathroom reseal allowance</t>
  </si>
  <si>
    <t>Clotheslines</t>
  </si>
  <si>
    <t>Front boundary stone wall - wash and repairs as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</si>
</sst>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dddd\,\ dd\ mmmm\ yyyy"/>
    <numFmt numFmtId="166" formatCode="0.0%"/>
    <numFmt numFmtId="167" formatCode="d/mm/yyyy;@"/>
    <numFmt numFmtId="168" formatCode="&quot;$&quot;#,##0.00"/>
    <numFmt numFmtId="169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61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3F3F76"/>
      <name val="Calibri"/>
      <family val="2"/>
      <scheme val="minor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12"/>
      <color theme="1"/>
      <name val="Arial"/>
      <family val="2"/>
    </font>
    <font>
      <sz val="8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0"/>
      <color rgb="FF000000"/>
      <name val="Courie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</cellStyleXfs>
  <cellXfs count="146">
    <xf numFmtId="0" fontId="0" fillId="0" borderId="0" xfId="0"/>
    <xf numFmtId="0" fontId="0" fillId="0" borderId="0" xfId="0" applyAlignment="1">
      <alignment horizontal="left" vertical="top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166" fontId="11" fillId="0" borderId="0" xfId="2" applyNumberFormat="1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8" fontId="0" fillId="0" borderId="0" xfId="0" applyNumberFormat="1"/>
    <xf numFmtId="168" fontId="0" fillId="0" borderId="0" xfId="0" applyNumberFormat="1" applyAlignment="1">
      <alignment horizontal="right"/>
    </xf>
    <xf numFmtId="0" fontId="9" fillId="6" borderId="0" xfId="0" applyFont="1" applyFill="1" applyAlignment="1">
      <alignment horizontal="center"/>
    </xf>
    <xf numFmtId="168" fontId="9" fillId="6" borderId="0" xfId="0" applyNumberFormat="1" applyFont="1" applyFill="1"/>
    <xf numFmtId="0" fontId="9" fillId="6" borderId="0" xfId="0" applyFont="1" applyFill="1"/>
    <xf numFmtId="168" fontId="9" fillId="6" borderId="0" xfId="0" applyNumberFormat="1" applyFont="1" applyFill="1" applyAlignment="1">
      <alignment horizontal="right"/>
    </xf>
    <xf numFmtId="0" fontId="0" fillId="0" borderId="3" xfId="0" applyBorder="1" applyAlignment="1">
      <alignment horizontal="center" vertical="top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 applyAlignment="1">
      <alignment horizontal="center" vertical="center"/>
    </xf>
    <xf numFmtId="0" fontId="10" fillId="0" borderId="3" xfId="0" applyFont="1" applyBorder="1" applyAlignment="1">
      <alignment horizontal="center" vertical="top"/>
    </xf>
    <xf numFmtId="8" fontId="0" fillId="7" borderId="3" xfId="1" applyNumberFormat="1" applyFont="1" applyFill="1" applyBorder="1" applyAlignment="1">
      <alignment horizontal="center"/>
    </xf>
    <xf numFmtId="1" fontId="11" fillId="0" borderId="3" xfId="1" applyNumberFormat="1" applyFont="1" applyBorder="1" applyAlignment="1">
      <alignment horizontal="center" vertical="top"/>
    </xf>
    <xf numFmtId="10" fontId="0" fillId="0" borderId="3" xfId="0" applyNumberFormat="1" applyBorder="1" applyAlignment="1">
      <alignment horizontal="center"/>
    </xf>
    <xf numFmtId="10" fontId="0" fillId="0" borderId="3" xfId="0" applyNumberFormat="1" applyBorder="1" applyAlignment="1">
      <alignment horizontal="center" vertical="center"/>
    </xf>
    <xf numFmtId="0" fontId="10" fillId="0" borderId="4" xfId="0" applyFont="1" applyBorder="1" applyAlignment="1">
      <alignment horizontal="center" vertical="top"/>
    </xf>
    <xf numFmtId="167" fontId="0" fillId="0" borderId="4" xfId="0" applyNumberFormat="1" applyBorder="1" applyAlignment="1">
      <alignment horizontal="center" vertical="top"/>
    </xf>
    <xf numFmtId="168" fontId="0" fillId="0" borderId="4" xfId="0" applyNumberFormat="1" applyBorder="1" applyAlignment="1">
      <alignment horizontal="center"/>
    </xf>
    <xf numFmtId="8" fontId="0" fillId="7" borderId="4" xfId="1" applyNumberFormat="1" applyFont="1" applyFill="1" applyBorder="1" applyAlignment="1">
      <alignment horizontal="center"/>
    </xf>
    <xf numFmtId="2" fontId="11" fillId="0" borderId="4" xfId="0" applyNumberFormat="1" applyFont="1" applyBorder="1" applyAlignment="1">
      <alignment horizontal="center" vertical="top"/>
    </xf>
    <xf numFmtId="168" fontId="0" fillId="0" borderId="4" xfId="0" applyNumberForma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9" fillId="0" borderId="0" xfId="0" applyFont="1"/>
    <xf numFmtId="164" fontId="15" fillId="2" borderId="5" xfId="3" applyNumberFormat="1" applyFont="1" applyBorder="1" applyAlignment="1">
      <alignment horizontal="center"/>
    </xf>
    <xf numFmtId="8" fontId="16" fillId="5" borderId="5" xfId="6" applyNumberFormat="1" applyFont="1" applyBorder="1" applyAlignment="1">
      <alignment horizontal="center"/>
    </xf>
    <xf numFmtId="0" fontId="17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8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44" fontId="20" fillId="0" borderId="0" xfId="0" applyNumberFormat="1" applyFont="1" applyAlignment="1">
      <alignment horizontal="left" vertical="top"/>
    </xf>
    <xf numFmtId="8" fontId="19" fillId="0" borderId="0" xfId="0" applyNumberFormat="1" applyFont="1" applyAlignment="1">
      <alignment horizontal="left" vertical="top"/>
    </xf>
    <xf numFmtId="0" fontId="21" fillId="0" borderId="0" xfId="0" applyFont="1" applyAlignment="1">
      <alignment horizontal="left" vertical="top"/>
    </xf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left" vertical="top"/>
    </xf>
    <xf numFmtId="10" fontId="19" fillId="0" borderId="0" xfId="0" applyNumberFormat="1" applyFont="1" applyAlignment="1">
      <alignment horizontal="center"/>
    </xf>
    <xf numFmtId="167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22" fillId="0" borderId="0" xfId="0" applyFont="1" applyAlignment="1">
      <alignment horizontal="left" vertical="top"/>
    </xf>
    <xf numFmtId="168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top"/>
    </xf>
    <xf numFmtId="3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center" vertical="top"/>
    </xf>
    <xf numFmtId="3" fontId="6" fillId="0" borderId="0" xfId="0" applyNumberFormat="1" applyFont="1" applyAlignment="1">
      <alignment horizontal="left" vertical="top"/>
    </xf>
    <xf numFmtId="168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/>
    </xf>
    <xf numFmtId="10" fontId="10" fillId="0" borderId="0" xfId="0" applyNumberFormat="1" applyFont="1" applyAlignment="1">
      <alignment horizontal="left" vertical="top"/>
    </xf>
    <xf numFmtId="1" fontId="10" fillId="0" borderId="0" xfId="0" applyNumberFormat="1" applyFont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/>
    </xf>
    <xf numFmtId="10" fontId="0" fillId="0" borderId="0" xfId="0" applyNumberFormat="1"/>
    <xf numFmtId="0" fontId="0" fillId="0" borderId="3" xfId="0" applyBorder="1" applyAlignment="1">
      <alignment horizontal="center"/>
    </xf>
    <xf numFmtId="0" fontId="9" fillId="6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0" fontId="26" fillId="0" borderId="0" xfId="0" applyFont="1" applyAlignment="1">
      <alignment horizontal="left" vertical="top"/>
    </xf>
    <xf numFmtId="44" fontId="18" fillId="0" borderId="0" xfId="1" applyFont="1" applyAlignment="1">
      <alignment horizontal="left" vertical="top"/>
    </xf>
    <xf numFmtId="0" fontId="25" fillId="0" borderId="0" xfId="0" applyFont="1" applyAlignment="1">
      <alignment horizontal="right" vertical="top"/>
    </xf>
    <xf numFmtId="44" fontId="25" fillId="0" borderId="0" xfId="1" applyFont="1" applyAlignment="1">
      <alignment horizontal="right" vertical="top"/>
    </xf>
    <xf numFmtId="169" fontId="0" fillId="0" borderId="0" xfId="0" applyNumberFormat="1"/>
    <xf numFmtId="166" fontId="25" fillId="0" borderId="0" xfId="2" applyNumberFormat="1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applyFont="1" applyAlignment="1">
      <alignment horizontal="left" vertical="top"/>
    </xf>
    <xf numFmtId="167" fontId="25" fillId="0" borderId="0" xfId="0" applyNumberFormat="1" applyFont="1" applyAlignment="1">
      <alignment horizontal="left" vertical="top"/>
    </xf>
    <xf numFmtId="1" fontId="25" fillId="0" borderId="0" xfId="0" applyNumberFormat="1" applyFont="1" applyAlignment="1">
      <alignment horizontal="left" vertical="top"/>
    </xf>
    <xf numFmtId="10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2" fontId="11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Fill="1" applyBorder="1" applyAlignment="1">
      <alignment horizontal="center"/>
    </xf>
    <xf numFmtId="10" fontId="0" fillId="8" borderId="0" xfId="0" applyNumberFormat="1" applyFill="1"/>
    <xf numFmtId="10" fontId="9" fillId="8" borderId="0" xfId="0" applyNumberFormat="1" applyFont="1" applyFill="1"/>
    <xf numFmtId="0" fontId="17" fillId="0" borderId="3" xfId="0" applyFont="1" applyBorder="1" applyAlignment="1">
      <alignment horizontal="left" vertical="top"/>
    </xf>
    <xf numFmtId="0" fontId="30" fillId="0" borderId="0" xfId="0" applyFont="1" applyAlignment="1">
      <alignment horizontal="left" vertical="top"/>
    </xf>
    <xf numFmtId="0" fontId="30" fillId="9" borderId="1" xfId="5" applyFont="1" applyFill="1" applyAlignment="1">
      <alignment horizontal="left" vertical="top"/>
    </xf>
    <xf numFmtId="0" fontId="27" fillId="9" borderId="1" xfId="5" applyFont="1" applyFill="1" applyAlignment="1">
      <alignment horizontal="left" vertical="top"/>
    </xf>
    <xf numFmtId="0" fontId="18" fillId="0" borderId="3" xfId="0" applyFont="1" applyBorder="1" applyAlignment="1">
      <alignment horizontal="left" vertical="top"/>
    </xf>
    <xf numFmtId="0" fontId="25" fillId="9" borderId="3" xfId="0" applyFont="1" applyFill="1" applyBorder="1" applyAlignment="1">
      <alignment horizontal="right" vertical="top"/>
    </xf>
    <xf numFmtId="0" fontId="11" fillId="9" borderId="3" xfId="0" applyFont="1" applyFill="1" applyBorder="1" applyAlignment="1">
      <alignment horizontal="right" vertical="top"/>
    </xf>
    <xf numFmtId="44" fontId="11" fillId="9" borderId="3" xfId="1" applyFont="1" applyFill="1" applyBorder="1" applyAlignment="1">
      <alignment horizontal="right" vertical="top"/>
    </xf>
    <xf numFmtId="165" fontId="11" fillId="9" borderId="3" xfId="0" applyNumberFormat="1" applyFont="1" applyFill="1" applyBorder="1" applyAlignment="1">
      <alignment horizontal="right" vertical="top"/>
    </xf>
    <xf numFmtId="14" fontId="25" fillId="9" borderId="3" xfId="0" applyNumberFormat="1" applyFont="1" applyFill="1" applyBorder="1" applyAlignment="1">
      <alignment horizontal="right" vertical="top"/>
    </xf>
    <xf numFmtId="0" fontId="31" fillId="0" borderId="0" xfId="0" applyFont="1" applyAlignment="1">
      <alignment horizontal="left" vertical="top"/>
    </xf>
    <xf numFmtId="0" fontId="7" fillId="12" borderId="3" xfId="0" applyFont="1" applyFill="1" applyBorder="1" applyAlignment="1">
      <alignment horizontal="center" vertical="top" wrapText="1"/>
    </xf>
    <xf numFmtId="168" fontId="7" fillId="12" borderId="3" xfId="0" applyNumberFormat="1" applyFont="1" applyFill="1" applyBorder="1" applyAlignment="1">
      <alignment horizontal="center" vertical="top" wrapText="1"/>
    </xf>
    <xf numFmtId="10" fontId="7" fillId="12" borderId="3" xfId="0" applyNumberFormat="1" applyFont="1" applyFill="1" applyBorder="1" applyAlignment="1">
      <alignment horizontal="center" vertical="top" wrapText="1"/>
    </xf>
    <xf numFmtId="0" fontId="7" fillId="12" borderId="3" xfId="0" applyFont="1" applyFill="1" applyBorder="1" applyAlignment="1">
      <alignment horizontal="center"/>
    </xf>
    <xf numFmtId="0" fontId="7" fillId="12" borderId="3" xfId="0" applyFont="1" applyFill="1" applyBorder="1" applyAlignment="1">
      <alignment horizontal="center" vertical="top"/>
    </xf>
    <xf numFmtId="168" fontId="7" fillId="12" borderId="3" xfId="0" applyNumberFormat="1" applyFont="1" applyFill="1" applyBorder="1" applyAlignment="1">
      <alignment horizontal="center"/>
    </xf>
    <xf numFmtId="10" fontId="7" fillId="12" borderId="3" xfId="0" applyNumberFormat="1" applyFont="1" applyFill="1" applyBorder="1" applyAlignment="1">
      <alignment horizontal="center"/>
    </xf>
    <xf numFmtId="168" fontId="7" fillId="12" borderId="3" xfId="0" applyNumberFormat="1" applyFont="1" applyFill="1" applyBorder="1" applyAlignment="1">
      <alignment horizontal="center" vertical="center"/>
    </xf>
    <xf numFmtId="7" fontId="25" fillId="0" borderId="0" xfId="1" applyNumberFormat="1" applyFont="1" applyAlignment="1">
      <alignment horizontal="right" vertical="top"/>
    </xf>
    <xf numFmtId="0" fontId="0" fillId="13" borderId="0" xfId="0" applyFill="1"/>
    <xf numFmtId="0" fontId="7" fillId="10" borderId="0" xfId="0" applyFont="1" applyFill="1"/>
    <xf numFmtId="44" fontId="11" fillId="0" borderId="3" xfId="0" applyNumberFormat="1" applyFont="1" applyBorder="1" applyAlignment="1">
      <alignment horizontal="right" vertical="top"/>
    </xf>
    <xf numFmtId="0" fontId="25" fillId="9" borderId="3" xfId="4" applyFont="1" applyFill="1" applyBorder="1" applyAlignment="1">
      <alignment horizontal="right" vertical="top"/>
    </xf>
    <xf numFmtId="10" fontId="11" fillId="9" borderId="3" xfId="0" applyNumberFormat="1" applyFont="1" applyFill="1" applyBorder="1" applyAlignment="1">
      <alignment horizontal="right" vertical="top"/>
    </xf>
    <xf numFmtId="0" fontId="9" fillId="6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9" fillId="0" borderId="3" xfId="0" applyFont="1" applyBorder="1"/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left" vertical="center"/>
    </xf>
    <xf numFmtId="8" fontId="0" fillId="0" borderId="3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169" fontId="33" fillId="0" borderId="0" xfId="0" applyNumberFormat="1" applyFont="1"/>
    <xf numFmtId="169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left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/>
    <xf numFmtId="0" fontId="35" fillId="0" borderId="0" xfId="0" applyFont="1" applyAlignment="1">
      <alignment horizontal="left" vertical="center" readingOrder="1"/>
    </xf>
    <xf numFmtId="0" fontId="0" fillId="13" borderId="0" xfId="0" applyFill="1" applyAlignment="1">
      <alignment horizontal="left" vertical="center"/>
    </xf>
    <xf numFmtId="0" fontId="0" fillId="13" borderId="0" xfId="0" applyFill="1" applyAlignment="1">
      <alignment horizontal="left"/>
    </xf>
    <xf numFmtId="0" fontId="7" fillId="13" borderId="0" xfId="0" applyFont="1" applyFill="1" applyAlignment="1">
      <alignment horizontal="left" vertical="center"/>
    </xf>
    <xf numFmtId="14" fontId="11" fillId="9" borderId="3" xfId="0" applyNumberFormat="1" applyFont="1" applyFill="1" applyBorder="1" applyAlignment="1">
      <alignment horizontal="right" vertical="top"/>
    </xf>
    <xf numFmtId="168" fontId="7" fillId="0" borderId="0" xfId="0" applyNumberFormat="1" applyFont="1"/>
    <xf numFmtId="0" fontId="7" fillId="0" borderId="3" xfId="0" applyFont="1" applyBorder="1"/>
    <xf numFmtId="169" fontId="7" fillId="0" borderId="6" xfId="0" applyNumberFormat="1" applyFont="1" applyBorder="1" applyAlignment="1">
      <alignment horizontal="left"/>
    </xf>
    <xf numFmtId="168" fontId="12" fillId="0" borderId="0" xfId="0" applyNumberFormat="1" applyFont="1" applyAlignment="1">
      <alignment horizontal="left" vertical="top"/>
    </xf>
    <xf numFmtId="8" fontId="0" fillId="14" borderId="3" xfId="1" applyNumberFormat="1" applyFont="1" applyFill="1" applyBorder="1" applyAlignment="1">
      <alignment horizontal="center"/>
    </xf>
    <xf numFmtId="0" fontId="7" fillId="0" borderId="0" xfId="0" applyFont="1"/>
    <xf numFmtId="10" fontId="32" fillId="9" borderId="3" xfId="0" applyNumberFormat="1" applyFont="1" applyFill="1" applyBorder="1" applyAlignment="1">
      <alignment horizontal="right"/>
    </xf>
    <xf numFmtId="10" fontId="11" fillId="9" borderId="3" xfId="2" applyNumberFormat="1" applyFont="1" applyFill="1" applyBorder="1" applyAlignment="1">
      <alignment horizontal="right" vertical="top"/>
    </xf>
    <xf numFmtId="0" fontId="37" fillId="0" borderId="0" xfId="0" applyFont="1"/>
    <xf numFmtId="169" fontId="7" fillId="0" borderId="0" xfId="0" applyNumberFormat="1" applyFont="1" applyAlignment="1">
      <alignment horizontal="left"/>
    </xf>
    <xf numFmtId="168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horizontal="center" vertical="top"/>
    </xf>
    <xf numFmtId="167" fontId="0" fillId="0" borderId="3" xfId="0" applyNumberFormat="1" applyBorder="1" applyAlignment="1">
      <alignment horizontal="center" vertical="top"/>
    </xf>
    <xf numFmtId="2" fontId="11" fillId="0" borderId="3" xfId="0" applyNumberFormat="1" applyFont="1" applyBorder="1" applyAlignment="1">
      <alignment horizontal="center" vertical="top"/>
    </xf>
    <xf numFmtId="0" fontId="17" fillId="10" borderId="2" xfId="0" applyFont="1" applyFill="1" applyBorder="1" applyAlignment="1">
      <alignment horizontal="left" vertical="top"/>
    </xf>
    <xf numFmtId="0" fontId="17" fillId="11" borderId="2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7">
    <cellStyle name="Calculation" xfId="6" builtinId="22"/>
    <cellStyle name="Currency" xfId="1" builtinId="4"/>
    <cellStyle name="Good" xfId="3" builtinId="26"/>
    <cellStyle name="Input" xfId="5" builtinId="20"/>
    <cellStyle name="Neutral" xfId="4" builtinId="28"/>
    <cellStyle name="Normal" xfId="0" builtinId="0"/>
    <cellStyle name="Percent" xfId="2" builtinId="5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30/04/2027</c:v>
                  </c:pt>
                  <c:pt idx="1">
                    <c:v>30/04/2028</c:v>
                  </c:pt>
                  <c:pt idx="2">
                    <c:v>30/04/2029</c:v>
                  </c:pt>
                  <c:pt idx="3">
                    <c:v>30/04/2030</c:v>
                  </c:pt>
                  <c:pt idx="4">
                    <c:v>30/04/2031</c:v>
                  </c:pt>
                  <c:pt idx="5">
                    <c:v>30/04/2032</c:v>
                  </c:pt>
                  <c:pt idx="6">
                    <c:v>30/04/2033</c:v>
                  </c:pt>
                  <c:pt idx="7">
                    <c:v>30/04/2034</c:v>
                  </c:pt>
                  <c:pt idx="8">
                    <c:v>30/04/2035</c:v>
                  </c:pt>
                  <c:pt idx="9">
                    <c:v>30/04/2036</c:v>
                  </c:pt>
                  <c:pt idx="10">
                    <c:v>30/04/2037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Contribution'!$D$6:$D$23</c15:sqref>
                  </c15:fullRef>
                </c:ext>
              </c:extLst>
              <c:f>'Optimize Contribution'!$D$7:$D$17</c:f>
              <c:numCache>
                <c:formatCode>"$"#,##0.00_);[Red]\("$"#,##0.00\)</c:formatCode>
                <c:ptCount val="11"/>
                <c:pt idx="0">
                  <c:v>29957</c:v>
                </c:pt>
                <c:pt idx="1">
                  <c:v>30000</c:v>
                </c:pt>
                <c:pt idx="2">
                  <c:v>30250</c:v>
                </c:pt>
                <c:pt idx="3">
                  <c:v>30850</c:v>
                </c:pt>
                <c:pt idx="4">
                  <c:v>31000</c:v>
                </c:pt>
                <c:pt idx="5">
                  <c:v>32000</c:v>
                </c:pt>
                <c:pt idx="6">
                  <c:v>32500</c:v>
                </c:pt>
                <c:pt idx="7">
                  <c:v>33500</c:v>
                </c:pt>
                <c:pt idx="8">
                  <c:v>34500</c:v>
                </c:pt>
                <c:pt idx="9">
                  <c:v>34850</c:v>
                </c:pt>
                <c:pt idx="10">
                  <c:v>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1-4B03-B7CF-FC195C7EBBEC}"/>
            </c:ext>
          </c:extLst>
        </c:ser>
        <c:ser>
          <c:idx val="4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30/04/2027</c:v>
                  </c:pt>
                  <c:pt idx="1">
                    <c:v>30/04/2028</c:v>
                  </c:pt>
                  <c:pt idx="2">
                    <c:v>30/04/2029</c:v>
                  </c:pt>
                  <c:pt idx="3">
                    <c:v>30/04/2030</c:v>
                  </c:pt>
                  <c:pt idx="4">
                    <c:v>30/04/2031</c:v>
                  </c:pt>
                  <c:pt idx="5">
                    <c:v>30/04/2032</c:v>
                  </c:pt>
                  <c:pt idx="6">
                    <c:v>30/04/2033</c:v>
                  </c:pt>
                  <c:pt idx="7">
                    <c:v>30/04/2034</c:v>
                  </c:pt>
                  <c:pt idx="8">
                    <c:v>30/04/2035</c:v>
                  </c:pt>
                  <c:pt idx="9">
                    <c:v>30/04/2036</c:v>
                  </c:pt>
                  <c:pt idx="10">
                    <c:v>30/04/2037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Contribution'!$G$6:$G$23</c15:sqref>
                  </c15:fullRef>
                </c:ext>
              </c:extLst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4078.8</c:v>
                </c:pt>
                <c:pt idx="2">
                  <c:v>38383.362000000001</c:v>
                </c:pt>
                <c:pt idx="3">
                  <c:v>47109.646399999998</c:v>
                </c:pt>
                <c:pt idx="4">
                  <c:v>17444.260999999999</c:v>
                </c:pt>
                <c:pt idx="5">
                  <c:v>27161.7916</c:v>
                </c:pt>
                <c:pt idx="6">
                  <c:v>29791.604800000001</c:v>
                </c:pt>
                <c:pt idx="7">
                  <c:v>10955.716399999999</c:v>
                </c:pt>
                <c:pt idx="8">
                  <c:v>27151.9499</c:v>
                </c:pt>
                <c:pt idx="9">
                  <c:v>17701.857800000002</c:v>
                </c:pt>
                <c:pt idx="10">
                  <c:v>90034.333899999998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1-4B03-B7CF-FC195C7EBBEC}"/>
            </c:ext>
          </c:extLst>
        </c:ser>
        <c:ser>
          <c:idx val="6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30/04/2027</c:v>
                  </c:pt>
                  <c:pt idx="1">
                    <c:v>30/04/2028</c:v>
                  </c:pt>
                  <c:pt idx="2">
                    <c:v>30/04/2029</c:v>
                  </c:pt>
                  <c:pt idx="3">
                    <c:v>30/04/2030</c:v>
                  </c:pt>
                  <c:pt idx="4">
                    <c:v>30/04/2031</c:v>
                  </c:pt>
                  <c:pt idx="5">
                    <c:v>30/04/2032</c:v>
                  </c:pt>
                  <c:pt idx="6">
                    <c:v>30/04/2033</c:v>
                  </c:pt>
                  <c:pt idx="7">
                    <c:v>30/04/2034</c:v>
                  </c:pt>
                  <c:pt idx="8">
                    <c:v>30/04/2035</c:v>
                  </c:pt>
                  <c:pt idx="9">
                    <c:v>30/04/2036</c:v>
                  </c:pt>
                  <c:pt idx="10">
                    <c:v>30/04/2037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Contribution'!$I$6:$I$23</c15:sqref>
                  </c15:fullRef>
                </c:ext>
              </c:extLst>
              <c:f>'Optimize Contribution'!$I$7:$I$17</c:f>
              <c:numCache>
                <c:formatCode>"$"#,##0.00</c:formatCode>
                <c:ptCount val="11"/>
                <c:pt idx="0">
                  <c:v>56000</c:v>
                </c:pt>
                <c:pt idx="1">
                  <c:v>83274.895999999993</c:v>
                </c:pt>
                <c:pt idx="2">
                  <c:v>74569.11192000001</c:v>
                </c:pt>
                <c:pt idx="3">
                  <c:v>56777.767165600017</c:v>
                </c:pt>
                <c:pt idx="4">
                  <c:v>70641.298300568014</c:v>
                </c:pt>
                <c:pt idx="5">
                  <c:v>75425.80232158507</c:v>
                </c:pt>
                <c:pt idx="6">
                  <c:v>78013.643207232628</c:v>
                </c:pt>
                <c:pt idx="7">
                  <c:v>102021.87879144961</c:v>
                </c:pt>
                <c:pt idx="8">
                  <c:v>110258.42926319309</c:v>
                </c:pt>
                <c:pt idx="9">
                  <c:v>129298.17571708889</c:v>
                </c:pt>
                <c:pt idx="10">
                  <c:v>70940.040376601566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1-4B03-B7CF-FC195C7E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34017</xdr:colOff>
      <xdr:row>5</xdr:row>
      <xdr:rowOff>6803</xdr:rowOff>
    </xdr:from>
    <xdr:to>
      <xdr:col>5</xdr:col>
      <xdr:colOff>541564</xdr:colOff>
      <xdr:row>8</xdr:row>
      <xdr:rowOff>148318</xdr:rowOff>
    </xdr:to>
    <xdr:sp macro="[0]!ExportToWo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45160" y="966107"/>
          <a:ext cx="1514475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/>
            <a:t>Generate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57150</xdr:rowOff>
        </xdr:from>
        <xdr:to>
          <xdr:col>12</xdr:col>
          <xdr:colOff>1390650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161925</xdr:rowOff>
        </xdr:from>
        <xdr:to>
          <xdr:col>17</xdr:col>
          <xdr:colOff>228600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4</xdr:row>
      <xdr:rowOff>12700</xdr:rowOff>
    </xdr:from>
    <xdr:to>
      <xdr:col>16</xdr:col>
      <xdr:colOff>469900</xdr:colOff>
      <xdr:row>7</xdr:row>
      <xdr:rowOff>76200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049750" y="774700"/>
          <a:ext cx="1946275" cy="644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0</xdr:row>
      <xdr:rowOff>104775</xdr:rowOff>
    </xdr:from>
    <xdr:to>
      <xdr:col>2</xdr:col>
      <xdr:colOff>285750</xdr:colOff>
      <xdr:row>0</xdr:row>
      <xdr:rowOff>409575</xdr:rowOff>
    </xdr:to>
    <xdr:sp macro="[0]!GENERATE_SPLIT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43100" y="104775"/>
          <a:ext cx="771525" cy="3048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RUN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411692</xdr:colOff>
      <xdr:row>0</xdr:row>
      <xdr:rowOff>179917</xdr:rowOff>
    </xdr:from>
    <xdr:to>
      <xdr:col>0</xdr:col>
      <xdr:colOff>1588030</xdr:colOff>
      <xdr:row>0</xdr:row>
      <xdr:rowOff>619125</xdr:rowOff>
    </xdr:to>
    <xdr:sp macro="[0]!GENERATE_TAB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1692" y="179917"/>
          <a:ext cx="1176338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 Sheets</a:t>
          </a:r>
        </a:p>
      </xdr:txBody>
    </xdr:sp>
    <xdr:clientData/>
  </xdr:twoCellAnchor>
  <xdr:twoCellAnchor>
    <xdr:from>
      <xdr:col>0</xdr:col>
      <xdr:colOff>2003425</xdr:colOff>
      <xdr:row>0</xdr:row>
      <xdr:rowOff>194734</xdr:rowOff>
    </xdr:from>
    <xdr:to>
      <xdr:col>2</xdr:col>
      <xdr:colOff>116416</xdr:colOff>
      <xdr:row>0</xdr:row>
      <xdr:rowOff>633942</xdr:rowOff>
    </xdr:to>
    <xdr:sp macro="[0]!ExcelTblToWord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03425" y="194734"/>
          <a:ext cx="2272241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</a:t>
          </a:r>
          <a:r>
            <a:rPr lang="en-US" sz="1100" b="1" baseline="0">
              <a:solidFill>
                <a:schemeClr val="bg1"/>
              </a:solidFill>
            </a:rPr>
            <a:t> BMC Word Report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0000000}" name="tabl_1" displayName="tabl_1" ref="A1:D11" totalsRowShown="0" headerRowDxfId="64" dataDxfId="63">
  <autoFilter ref="A1:D11" xr:uid="{00000000-0009-0000-0100-00002D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1000000}" name="tabl_2" displayName="tabl_2" ref="A1:C7" totalsRowShown="0">
  <autoFilter ref="A1:C7" xr:uid="{00000000-0009-0000-0100-00002E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2000000}" name="tabl_3" displayName="tabl_3" ref="A1:L4" totalsRowShown="0" headerRowDxfId="55" dataDxfId="54">
  <autoFilter ref="A1:L4" xr:uid="{00000000-0009-0000-0100-00002F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3000000}" name="tabl_4" displayName="tabl_4" ref="A1:L44" totalsRowShown="0" headerRowDxfId="41" dataDxfId="40">
  <autoFilter ref="A1:L44" xr:uid="{00000000-0009-0000-0100-000030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04000000}" name="tabl_5" displayName="tabl_5" ref="A1:L44" totalsRowShown="0" headerRowDxfId="27" dataDxfId="26">
  <autoFilter ref="A1:L44" xr:uid="{00000000-0009-0000-0100-000031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5000000}" name="tabl_6" displayName="tabl_6" ref="A1:L44" totalsRowShown="0" headerRowDxfId="13" dataDxfId="12">
  <autoFilter ref="A1:L44" xr:uid="{00000000-0009-0000-0100-000032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28" sqref="B28"/>
    </sheetView>
  </sheetViews>
  <sheetFormatPr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x14ac:dyDescent="0.25">
      <c r="H1" t="s">
        <v>153</v>
      </c>
    </row>
    <row r="2" spans="1:8" x14ac:dyDescent="0.25">
      <c r="A2" s="104" t="s">
        <v>134</v>
      </c>
      <c r="B2" s="103" t="s">
        <v>158</v>
      </c>
      <c r="E2" s="122"/>
      <c r="H2" t="s">
        <v>130</v>
      </c>
    </row>
    <row r="3" spans="1:8" x14ac:dyDescent="0.25">
      <c r="B3" s="122"/>
      <c r="H3" t="s">
        <v>154</v>
      </c>
    </row>
    <row r="4" spans="1:8" x14ac:dyDescent="0.25">
      <c r="B4" s="122"/>
      <c r="H4" t="s">
        <v>155</v>
      </c>
    </row>
    <row r="5" spans="1:8" x14ac:dyDescent="0.25">
      <c r="B5" s="122"/>
      <c r="H5" t="s">
        <v>156</v>
      </c>
    </row>
    <row r="6" spans="1:8" x14ac:dyDescent="0.25">
      <c r="B6" s="122"/>
      <c r="H6" t="s">
        <v>157</v>
      </c>
    </row>
    <row r="7" spans="1:8" x14ac:dyDescent="0.25">
      <c r="B7" s="122"/>
      <c r="H7" t="s">
        <v>147</v>
      </c>
    </row>
    <row r="8" spans="1:8" x14ac:dyDescent="0.25">
      <c r="B8" s="122"/>
      <c r="H8" t="s">
        <v>148</v>
      </c>
    </row>
    <row r="9" spans="1:8" x14ac:dyDescent="0.25">
      <c r="B9" s="122"/>
      <c r="H9" t="s">
        <v>149</v>
      </c>
    </row>
    <row r="10" spans="1:8" x14ac:dyDescent="0.25">
      <c r="B10" s="122"/>
      <c r="H10" t="s">
        <v>150</v>
      </c>
    </row>
    <row r="11" spans="1:8" x14ac:dyDescent="0.25">
      <c r="B11" s="122"/>
      <c r="H11" t="s">
        <v>151</v>
      </c>
    </row>
    <row r="12" spans="1:8" x14ac:dyDescent="0.25">
      <c r="B12" s="122"/>
      <c r="H12" t="s">
        <v>152</v>
      </c>
    </row>
    <row r="13" spans="1:8" x14ac:dyDescent="0.25">
      <c r="B13" s="122"/>
    </row>
    <row r="14" spans="1:8" x14ac:dyDescent="0.25">
      <c r="B14" s="122"/>
    </row>
    <row r="15" spans="1:8" x14ac:dyDescent="0.25">
      <c r="B15" s="122"/>
    </row>
    <row r="16" spans="1:8" x14ac:dyDescent="0.25">
      <c r="B16" s="122"/>
    </row>
    <row r="17" spans="2:2" x14ac:dyDescent="0.25">
      <c r="B17" s="122"/>
    </row>
    <row r="18" spans="2:2" x14ac:dyDescent="0.25">
      <c r="B18" s="122"/>
    </row>
    <row r="19" spans="2:2" x14ac:dyDescent="0.25">
      <c r="B19" s="122"/>
    </row>
    <row r="20" spans="2:2" x14ac:dyDescent="0.25">
      <c r="B20" s="122"/>
    </row>
    <row r="21" spans="2:2" x14ac:dyDescent="0.25">
      <c r="B21" s="122"/>
    </row>
    <row r="22" spans="2:2" x14ac:dyDescent="0.25">
      <c r="B22" s="122"/>
    </row>
    <row r="23" spans="2:2" x14ac:dyDescent="0.25">
      <c r="B23" s="122"/>
    </row>
    <row r="24" spans="2:2" x14ac:dyDescent="0.25">
      <c r="B24" s="122"/>
    </row>
    <row r="25" spans="2:2" x14ac:dyDescent="0.25">
      <c r="B25" s="122"/>
    </row>
    <row r="26" spans="2:2" x14ac:dyDescent="0.25">
      <c r="B26" s="122"/>
    </row>
    <row r="27" spans="2:2" x14ac:dyDescent="0.25">
      <c r="B27" s="122"/>
    </row>
    <row r="28" spans="2:2" x14ac:dyDescent="0.25">
      <c r="B28" s="122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2:H54"/>
  <sheetViews>
    <sheetView showGridLines="0" tabSelected="1" zoomScale="90" zoomScaleNormal="90" workbookViewId="0">
      <selection activeCell="C25" sqref="C25"/>
    </sheetView>
  </sheetViews>
  <sheetFormatPr defaultColWidth="8" defaultRowHeight="15.75" x14ac:dyDescent="0.25"/>
  <cols>
    <col min="1" max="1" width="10.140625" style="64" customWidth="1"/>
    <col min="2" max="2" width="46" style="64" bestFit="1" customWidth="1"/>
    <col min="3" max="3" width="41" style="64" bestFit="1" customWidth="1"/>
    <col min="4" max="4" width="8" style="64"/>
    <col min="5" max="5" width="17.42578125" style="64" customWidth="1"/>
    <col min="6" max="6" width="8" style="64"/>
    <col min="7" max="7" width="23.28515625" style="64" customWidth="1"/>
    <col min="8" max="8" width="8" style="64"/>
    <col min="9" max="9" width="14.7109375" style="64" bestFit="1" customWidth="1"/>
    <col min="10" max="10" width="13.42578125" style="64" bestFit="1" customWidth="1"/>
    <col min="11" max="16384" width="8" style="64"/>
  </cols>
  <sheetData>
    <row r="2" spans="1:7" x14ac:dyDescent="0.25">
      <c r="C2" s="39" t="s">
        <v>0</v>
      </c>
    </row>
    <row r="3" spans="1:7" x14ac:dyDescent="0.25">
      <c r="A3" s="141" t="s">
        <v>1</v>
      </c>
      <c r="B3" s="141"/>
      <c r="C3" s="141"/>
      <c r="E3" s="2" t="s">
        <v>2</v>
      </c>
      <c r="G3" s="2" t="s">
        <v>3</v>
      </c>
    </row>
    <row r="4" spans="1:7" x14ac:dyDescent="0.25">
      <c r="A4" s="32"/>
      <c r="B4" s="83" t="s">
        <v>4</v>
      </c>
      <c r="C4" s="88" t="s">
        <v>225</v>
      </c>
      <c r="E4" s="85" t="s">
        <v>226</v>
      </c>
      <c r="G4" s="86" t="s">
        <v>3</v>
      </c>
    </row>
    <row r="5" spans="1:7" x14ac:dyDescent="0.25">
      <c r="A5" s="35"/>
      <c r="B5" s="83" t="s">
        <v>5</v>
      </c>
      <c r="C5" s="88" t="s">
        <v>227</v>
      </c>
    </row>
    <row r="6" spans="1:7" x14ac:dyDescent="0.25">
      <c r="A6" s="35"/>
      <c r="B6" s="83" t="s">
        <v>6</v>
      </c>
      <c r="C6" s="88">
        <v>3505</v>
      </c>
    </row>
    <row r="7" spans="1:7" x14ac:dyDescent="0.25">
      <c r="A7" s="35"/>
      <c r="B7" s="83" t="s">
        <v>184</v>
      </c>
      <c r="C7" s="126">
        <v>24862</v>
      </c>
    </row>
    <row r="8" spans="1:7" x14ac:dyDescent="0.25">
      <c r="A8" s="35"/>
      <c r="B8" s="83" t="s">
        <v>186</v>
      </c>
      <c r="C8" s="89">
        <v>12</v>
      </c>
    </row>
    <row r="9" spans="1:7" x14ac:dyDescent="0.25">
      <c r="A9" s="35"/>
      <c r="B9" s="83" t="s">
        <v>187</v>
      </c>
      <c r="C9" s="89">
        <v>2258</v>
      </c>
    </row>
    <row r="10" spans="1:7" x14ac:dyDescent="0.25">
      <c r="A10" s="35"/>
      <c r="B10" s="83" t="s">
        <v>7</v>
      </c>
      <c r="C10" s="90">
        <v>40171</v>
      </c>
    </row>
    <row r="11" spans="1:7" x14ac:dyDescent="0.25">
      <c r="A11" s="35"/>
      <c r="B11" s="83" t="s">
        <v>8</v>
      </c>
      <c r="C11" s="90" t="s">
        <v>9</v>
      </c>
    </row>
    <row r="12" spans="1:7" x14ac:dyDescent="0.25">
      <c r="A12" s="35"/>
      <c r="B12" s="83" t="s">
        <v>10</v>
      </c>
      <c r="C12" s="90">
        <v>0</v>
      </c>
    </row>
    <row r="13" spans="1:7" x14ac:dyDescent="0.25">
      <c r="A13" s="35"/>
      <c r="B13" s="83" t="s">
        <v>11</v>
      </c>
      <c r="C13" s="90">
        <v>29957</v>
      </c>
    </row>
    <row r="14" spans="1:7" x14ac:dyDescent="0.25">
      <c r="A14" s="35"/>
      <c r="B14" s="83" t="s">
        <v>12</v>
      </c>
      <c r="C14" s="105">
        <f>IA_FundLevy/C9</f>
        <v>13.267050487156776</v>
      </c>
      <c r="D14" s="84" t="s">
        <v>13</v>
      </c>
    </row>
    <row r="15" spans="1:7" x14ac:dyDescent="0.25">
      <c r="A15" s="35"/>
      <c r="B15" s="87" t="s">
        <v>14</v>
      </c>
      <c r="C15" s="105">
        <f>'Optimize Contribution'!E8</f>
        <v>13.286093888396811</v>
      </c>
      <c r="D15" s="84" t="s">
        <v>15</v>
      </c>
    </row>
    <row r="16" spans="1:7" ht="18.75" customHeight="1" x14ac:dyDescent="0.25">
      <c r="A16" s="35"/>
      <c r="B16" s="83" t="s">
        <v>16</v>
      </c>
      <c r="C16" s="89" t="s">
        <v>179</v>
      </c>
    </row>
    <row r="17" spans="1:3" ht="27.75" customHeight="1" x14ac:dyDescent="0.25">
      <c r="A17" s="35"/>
      <c r="B17" s="83" t="s">
        <v>17</v>
      </c>
      <c r="C17" s="91">
        <v>46204</v>
      </c>
    </row>
    <row r="18" spans="1:3" x14ac:dyDescent="0.25">
      <c r="A18" s="35"/>
      <c r="B18" s="83" t="s">
        <v>18</v>
      </c>
      <c r="C18" s="106" t="s">
        <v>182</v>
      </c>
    </row>
    <row r="19" spans="1:3" x14ac:dyDescent="0.25">
      <c r="A19" s="35"/>
      <c r="B19" s="83" t="s">
        <v>19</v>
      </c>
      <c r="C19" s="89" t="s">
        <v>193</v>
      </c>
    </row>
    <row r="20" spans="1:3" x14ac:dyDescent="0.25">
      <c r="A20" s="142" t="s">
        <v>20</v>
      </c>
      <c r="B20" s="142"/>
      <c r="C20" s="142"/>
    </row>
    <row r="21" spans="1:3" x14ac:dyDescent="0.25">
      <c r="A21" s="32"/>
      <c r="B21" s="83" t="s">
        <v>21</v>
      </c>
      <c r="C21" s="92">
        <v>46508</v>
      </c>
    </row>
    <row r="22" spans="1:3" x14ac:dyDescent="0.25">
      <c r="B22" s="83" t="s">
        <v>22</v>
      </c>
      <c r="C22" s="107">
        <v>0.03</v>
      </c>
    </row>
    <row r="23" spans="1:3" x14ac:dyDescent="0.25">
      <c r="B23" s="83" t="s">
        <v>23</v>
      </c>
      <c r="C23" s="89">
        <v>10</v>
      </c>
    </row>
    <row r="24" spans="1:3" x14ac:dyDescent="0.2">
      <c r="B24" s="83" t="s">
        <v>24</v>
      </c>
      <c r="C24" s="133">
        <v>0.03</v>
      </c>
    </row>
    <row r="25" spans="1:3" x14ac:dyDescent="0.25">
      <c r="B25" s="83" t="s">
        <v>25</v>
      </c>
      <c r="C25" s="134">
        <v>0.08</v>
      </c>
    </row>
    <row r="26" spans="1:3" x14ac:dyDescent="0.25">
      <c r="B26" s="65"/>
      <c r="C26" s="5"/>
    </row>
    <row r="27" spans="1:3" x14ac:dyDescent="0.25">
      <c r="B27" s="65"/>
      <c r="C27" s="70"/>
    </row>
    <row r="28" spans="1:3" x14ac:dyDescent="0.25">
      <c r="B28" s="32"/>
    </row>
    <row r="30" spans="1:3" x14ac:dyDescent="0.25">
      <c r="B30" s="71"/>
    </row>
    <row r="31" spans="1:3" x14ac:dyDescent="0.25">
      <c r="C31" s="71"/>
    </row>
    <row r="36" spans="1:6" x14ac:dyDescent="0.25">
      <c r="A36" s="93" t="s">
        <v>26</v>
      </c>
      <c r="B36" s="72"/>
    </row>
    <row r="37" spans="1:6" x14ac:dyDescent="0.25">
      <c r="C37" s="64">
        <v>0.01</v>
      </c>
      <c r="F37" s="64" t="s">
        <v>170</v>
      </c>
    </row>
    <row r="38" spans="1:6" x14ac:dyDescent="0.25">
      <c r="B38" s="71" t="s">
        <v>27</v>
      </c>
      <c r="C38" s="64">
        <v>1.2500000000000001E-2</v>
      </c>
      <c r="D38" s="64">
        <v>1</v>
      </c>
      <c r="E38" s="73">
        <v>42917</v>
      </c>
      <c r="F38" s="64" t="s">
        <v>176</v>
      </c>
    </row>
    <row r="39" spans="1:6" x14ac:dyDescent="0.25">
      <c r="B39" s="71" t="s">
        <v>9</v>
      </c>
      <c r="C39" s="64">
        <v>1.4999999999999999E-2</v>
      </c>
      <c r="D39" s="64">
        <v>2</v>
      </c>
      <c r="E39" s="73">
        <v>43282</v>
      </c>
      <c r="F39" s="64" t="s">
        <v>179</v>
      </c>
    </row>
    <row r="40" spans="1:6" x14ac:dyDescent="0.25">
      <c r="C40" s="64">
        <v>1.7500000000000002E-2</v>
      </c>
      <c r="D40" s="64">
        <v>3</v>
      </c>
      <c r="E40" s="73">
        <v>43647</v>
      </c>
      <c r="F40" s="64" t="s">
        <v>173</v>
      </c>
    </row>
    <row r="41" spans="1:6" x14ac:dyDescent="0.25">
      <c r="C41" s="74">
        <v>0.02</v>
      </c>
      <c r="D41" s="64">
        <v>4</v>
      </c>
      <c r="E41" s="73">
        <v>44013</v>
      </c>
      <c r="F41" s="64" t="s">
        <v>166</v>
      </c>
    </row>
    <row r="42" spans="1:6" x14ac:dyDescent="0.25">
      <c r="C42" s="64">
        <v>2.5000000000000001E-2</v>
      </c>
      <c r="D42" s="64">
        <v>5</v>
      </c>
      <c r="E42" s="73">
        <v>44378</v>
      </c>
      <c r="F42" s="64" t="s">
        <v>165</v>
      </c>
    </row>
    <row r="43" spans="1:6" x14ac:dyDescent="0.25">
      <c r="C43" s="64">
        <v>0.03</v>
      </c>
      <c r="D43" s="64">
        <v>6</v>
      </c>
      <c r="E43" s="73">
        <v>44743</v>
      </c>
      <c r="F43" s="64" t="s">
        <v>168</v>
      </c>
    </row>
    <row r="44" spans="1:6" x14ac:dyDescent="0.25">
      <c r="C44" s="64">
        <v>3.5000000000000003E-2</v>
      </c>
      <c r="D44" s="64">
        <v>7</v>
      </c>
      <c r="E44" s="73">
        <v>45108</v>
      </c>
      <c r="F44" s="64" t="s">
        <v>167</v>
      </c>
    </row>
    <row r="45" spans="1:6" x14ac:dyDescent="0.25">
      <c r="C45" s="64">
        <v>0.04</v>
      </c>
      <c r="D45" s="64">
        <v>8</v>
      </c>
      <c r="E45" s="73">
        <v>45474</v>
      </c>
      <c r="F45" s="64" t="s">
        <v>175</v>
      </c>
    </row>
    <row r="46" spans="1:6" x14ac:dyDescent="0.25">
      <c r="C46" s="64">
        <v>4.4999999999999998E-2</v>
      </c>
      <c r="D46" s="64">
        <v>9</v>
      </c>
      <c r="E46" s="73">
        <v>45839</v>
      </c>
      <c r="F46" s="64" t="s">
        <v>177</v>
      </c>
    </row>
    <row r="47" spans="1:6" x14ac:dyDescent="0.25">
      <c r="C47" s="64">
        <v>0.05</v>
      </c>
      <c r="D47" s="64">
        <v>10</v>
      </c>
      <c r="E47" s="73">
        <v>46204</v>
      </c>
      <c r="F47" s="64" t="s">
        <v>172</v>
      </c>
    </row>
    <row r="48" spans="1:6" x14ac:dyDescent="0.25">
      <c r="C48" s="64">
        <v>5.5E-2</v>
      </c>
      <c r="D48" s="64">
        <v>11</v>
      </c>
      <c r="E48" s="73">
        <v>46569</v>
      </c>
      <c r="F48" s="64" t="s">
        <v>178</v>
      </c>
    </row>
    <row r="49" spans="3:8" x14ac:dyDescent="0.25">
      <c r="C49" s="64">
        <v>0.06</v>
      </c>
      <c r="D49" s="64">
        <v>12</v>
      </c>
      <c r="E49" s="73">
        <v>46935</v>
      </c>
      <c r="F49" s="64" t="s">
        <v>169</v>
      </c>
    </row>
    <row r="50" spans="3:8" x14ac:dyDescent="0.25">
      <c r="C50" s="64">
        <v>6.5000000000000002E-2</v>
      </c>
      <c r="D50" s="64">
        <v>13</v>
      </c>
      <c r="E50" s="73">
        <v>47300</v>
      </c>
      <c r="F50" s="64" t="s">
        <v>180</v>
      </c>
    </row>
    <row r="51" spans="3:8" x14ac:dyDescent="0.25">
      <c r="C51" s="64">
        <v>7.0000000000000007E-2</v>
      </c>
      <c r="D51" s="64">
        <v>14</v>
      </c>
      <c r="E51" s="73">
        <v>47665</v>
      </c>
      <c r="F51" s="64" t="s">
        <v>171</v>
      </c>
    </row>
    <row r="52" spans="3:8" x14ac:dyDescent="0.25">
      <c r="C52" s="64">
        <v>7.4999999999999997E-2</v>
      </c>
      <c r="D52" s="64">
        <v>15</v>
      </c>
      <c r="E52" s="73">
        <v>48030</v>
      </c>
      <c r="F52" s="64" t="s">
        <v>164</v>
      </c>
    </row>
    <row r="53" spans="3:8" x14ac:dyDescent="0.25">
      <c r="C53" s="64">
        <v>0.08</v>
      </c>
      <c r="E53" s="73">
        <v>48396</v>
      </c>
      <c r="F53" s="64" t="s">
        <v>181</v>
      </c>
    </row>
    <row r="54" spans="3:8" x14ac:dyDescent="0.25">
      <c r="F54" s="64" t="s">
        <v>183</v>
      </c>
      <c r="H54" s="84" t="s">
        <v>190</v>
      </c>
    </row>
  </sheetData>
  <sortState xmlns:xlrd2="http://schemas.microsoft.com/office/spreadsheetml/2017/richdata2" ref="F37:F55">
    <sortCondition ref="F37:F55"/>
  </sortState>
  <mergeCells count="2">
    <mergeCell ref="A3:C3"/>
    <mergeCell ref="A20:C20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AF158986-8B72-4FCD-BBCC-9E573ED5A0DF}">
      <formula1>$F$37:$F$56</formula1>
    </dataValidation>
    <dataValidation type="list" allowBlank="1" showInputMessage="1" showErrorMessage="1" sqref="C16" xr:uid="{BBCFE35D-054B-47E4-9883-979AB8ADA064}">
      <formula1>$F$37:$F$80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4:AC47"/>
  <sheetViews>
    <sheetView topLeftCell="A7" zoomScale="110" zoomScaleNormal="110" workbookViewId="0">
      <selection activeCell="A6" sqref="A6:A47"/>
    </sheetView>
  </sheetViews>
  <sheetFormatPr defaultColWidth="8.42578125" defaultRowHeight="15" x14ac:dyDescent="0.25"/>
  <cols>
    <col min="1" max="1" width="6.28515625" style="4" bestFit="1" customWidth="1"/>
    <col min="2" max="2" width="77" style="4" customWidth="1"/>
    <col min="3" max="3" width="14.85546875" style="53" bestFit="1" customWidth="1"/>
    <col min="4" max="4" width="8.42578125" style="4"/>
    <col min="5" max="5" width="13" style="52" bestFit="1" customWidth="1"/>
    <col min="6" max="6" width="13.42578125" style="49" bestFit="1" customWidth="1"/>
    <col min="7" max="7" width="9.5703125" style="54" bestFit="1" customWidth="1"/>
    <col min="8" max="8" width="9.42578125" style="54" bestFit="1" customWidth="1"/>
    <col min="9" max="9" width="11.140625" style="4" bestFit="1" customWidth="1"/>
    <col min="10" max="16384" width="8.42578125" style="4"/>
  </cols>
  <sheetData>
    <row r="4" spans="1:29" x14ac:dyDescent="0.25">
      <c r="A4" s="3" t="s">
        <v>70</v>
      </c>
      <c r="B4" s="45" t="s">
        <v>53</v>
      </c>
      <c r="C4" s="55" t="s">
        <v>71</v>
      </c>
      <c r="D4" s="3" t="s">
        <v>72</v>
      </c>
      <c r="E4" s="130" t="s">
        <v>73</v>
      </c>
      <c r="F4" s="46" t="s">
        <v>74</v>
      </c>
      <c r="G4" s="47" t="s">
        <v>75</v>
      </c>
      <c r="H4" s="47" t="s">
        <v>76</v>
      </c>
      <c r="I4" s="4" t="s">
        <v>77</v>
      </c>
    </row>
    <row r="5" spans="1:29" x14ac:dyDescent="0.25">
      <c r="C5" s="51" t="s">
        <v>78</v>
      </c>
      <c r="D5" s="48" t="s">
        <v>79</v>
      </c>
      <c r="E5" s="52" t="s">
        <v>80</v>
      </c>
      <c r="F5" s="49" t="s">
        <v>81</v>
      </c>
      <c r="G5" s="50"/>
      <c r="H5" s="50"/>
    </row>
    <row r="6" spans="1:29" x14ac:dyDescent="0.25">
      <c r="A6" s="138">
        <v>1</v>
      </c>
      <c r="B6" s="45" t="s">
        <v>194</v>
      </c>
      <c r="C6" s="51"/>
      <c r="D6" s="48"/>
      <c r="G6" s="50"/>
      <c r="H6" s="50"/>
    </row>
    <row r="7" spans="1:29" x14ac:dyDescent="0.25">
      <c r="A7" s="138">
        <v>2</v>
      </c>
      <c r="B7" s="4" t="s">
        <v>230</v>
      </c>
      <c r="C7" s="51">
        <v>1</v>
      </c>
      <c r="D7" s="48" t="s">
        <v>195</v>
      </c>
      <c r="E7" s="52">
        <v>5000</v>
      </c>
      <c r="F7" s="49">
        <f>C7*E7</f>
        <v>5000</v>
      </c>
      <c r="G7" s="50">
        <v>5</v>
      </c>
      <c r="H7" s="50">
        <v>5</v>
      </c>
    </row>
    <row r="8" spans="1:29" x14ac:dyDescent="0.25">
      <c r="A8" s="138">
        <v>3</v>
      </c>
      <c r="B8" s="45" t="s">
        <v>196</v>
      </c>
      <c r="C8" s="51"/>
      <c r="D8" s="48"/>
      <c r="G8" s="50"/>
      <c r="H8" s="50"/>
    </row>
    <row r="9" spans="1:29" x14ac:dyDescent="0.25">
      <c r="A9" s="138">
        <v>4</v>
      </c>
      <c r="B9" s="4" t="s">
        <v>197</v>
      </c>
      <c r="C9" s="51">
        <v>200</v>
      </c>
      <c r="D9" s="48" t="s">
        <v>86</v>
      </c>
      <c r="E9" s="52">
        <v>85</v>
      </c>
      <c r="F9" s="49">
        <f t="shared" ref="F9:F14" si="0">C9*E9</f>
        <v>17000</v>
      </c>
      <c r="G9" s="50">
        <v>6</v>
      </c>
      <c r="H9" s="50">
        <v>7</v>
      </c>
    </row>
    <row r="10" spans="1:29" x14ac:dyDescent="0.25">
      <c r="A10" s="138">
        <v>5</v>
      </c>
      <c r="B10" s="4" t="s">
        <v>228</v>
      </c>
      <c r="C10" s="51">
        <v>12</v>
      </c>
      <c r="D10" s="48" t="s">
        <v>198</v>
      </c>
      <c r="E10" s="52">
        <v>350</v>
      </c>
      <c r="F10" s="49">
        <f t="shared" si="0"/>
        <v>4200</v>
      </c>
      <c r="G10" s="50">
        <v>6</v>
      </c>
      <c r="H10" s="50">
        <v>7</v>
      </c>
    </row>
    <row r="11" spans="1:29" x14ac:dyDescent="0.25">
      <c r="A11" s="138">
        <v>6</v>
      </c>
      <c r="B11" s="4" t="s">
        <v>229</v>
      </c>
      <c r="C11" s="51">
        <v>72</v>
      </c>
      <c r="D11" s="48" t="s">
        <v>86</v>
      </c>
      <c r="E11" s="52">
        <v>361</v>
      </c>
      <c r="F11" s="49">
        <f t="shared" si="0"/>
        <v>25992</v>
      </c>
      <c r="G11" s="50">
        <v>3</v>
      </c>
      <c r="H11" s="50">
        <v>7</v>
      </c>
    </row>
    <row r="12" spans="1:29" x14ac:dyDescent="0.25">
      <c r="A12" s="138">
        <v>7</v>
      </c>
      <c r="B12" s="4" t="s">
        <v>221</v>
      </c>
      <c r="C12" s="51">
        <v>4</v>
      </c>
      <c r="D12" s="48" t="s">
        <v>195</v>
      </c>
      <c r="E12" s="52">
        <v>298</v>
      </c>
      <c r="F12" s="49">
        <f t="shared" si="0"/>
        <v>1192</v>
      </c>
      <c r="G12" s="50">
        <v>3</v>
      </c>
      <c r="H12" s="50">
        <v>7</v>
      </c>
    </row>
    <row r="13" spans="1:29" x14ac:dyDescent="0.25">
      <c r="A13" s="138">
        <v>8</v>
      </c>
      <c r="B13" s="4" t="s">
        <v>231</v>
      </c>
      <c r="C13" s="51">
        <v>120</v>
      </c>
      <c r="D13" s="48" t="s">
        <v>86</v>
      </c>
      <c r="E13" s="52">
        <v>44</v>
      </c>
      <c r="F13" s="49">
        <f t="shared" si="0"/>
        <v>5280</v>
      </c>
      <c r="G13" s="50">
        <v>3</v>
      </c>
      <c r="H13" s="50">
        <v>7</v>
      </c>
    </row>
    <row r="14" spans="1:29" x14ac:dyDescent="0.25">
      <c r="A14" s="138">
        <v>9</v>
      </c>
      <c r="B14" s="4" t="s">
        <v>223</v>
      </c>
      <c r="C14" s="51">
        <v>90</v>
      </c>
      <c r="D14" s="48" t="s">
        <v>86</v>
      </c>
      <c r="E14" s="52">
        <v>45</v>
      </c>
      <c r="F14" s="49">
        <f t="shared" si="0"/>
        <v>4050</v>
      </c>
      <c r="G14" s="50">
        <v>3</v>
      </c>
      <c r="H14" s="50">
        <v>7</v>
      </c>
      <c r="AC14" s="4" t="s">
        <v>222</v>
      </c>
    </row>
    <row r="15" spans="1:29" x14ac:dyDescent="0.25">
      <c r="A15" s="138">
        <v>10</v>
      </c>
      <c r="B15" s="45" t="s">
        <v>199</v>
      </c>
      <c r="C15" s="51"/>
      <c r="D15" s="48"/>
      <c r="G15" s="50"/>
      <c r="H15" s="50"/>
      <c r="AC15" s="4">
        <f>IF(COUNTBLANK(B15:AB15)=27,0,IF(AND(NOT(ISBLANK(B15)),ISBLANK(C15)),0,IF(SUM(D15:AB15)=0,1,0)))</f>
        <v>0</v>
      </c>
    </row>
    <row r="16" spans="1:29" x14ac:dyDescent="0.25">
      <c r="A16" s="138">
        <v>11</v>
      </c>
      <c r="B16" s="4" t="s">
        <v>232</v>
      </c>
      <c r="C16" s="51">
        <v>7</v>
      </c>
      <c r="D16" s="48" t="s">
        <v>195</v>
      </c>
      <c r="E16" s="52">
        <v>505</v>
      </c>
      <c r="F16" s="49">
        <f>C16*E16</f>
        <v>3535</v>
      </c>
      <c r="G16" s="50">
        <v>4</v>
      </c>
      <c r="H16" s="50">
        <v>5</v>
      </c>
      <c r="AC16" s="4">
        <f t="shared" ref="AC16:AC47" si="1">IF(COUNTBLANK(B16:AB16)=27,0,IF(AND(NOT(ISBLANK(B16)),ISBLANK(C16)),0,IF(SUM(D16:AB16)=0,1,0)))</f>
        <v>0</v>
      </c>
    </row>
    <row r="17" spans="1:29" x14ac:dyDescent="0.25">
      <c r="A17" s="138">
        <v>12</v>
      </c>
      <c r="B17" s="4" t="s">
        <v>200</v>
      </c>
      <c r="C17" s="51">
        <v>75</v>
      </c>
      <c r="D17" s="48" t="s">
        <v>198</v>
      </c>
      <c r="E17" s="52">
        <v>50</v>
      </c>
      <c r="F17" s="49">
        <f>C17*E17</f>
        <v>3750</v>
      </c>
      <c r="G17" s="50">
        <v>3</v>
      </c>
      <c r="H17" s="50">
        <v>3</v>
      </c>
      <c r="AC17" s="4">
        <f t="shared" si="1"/>
        <v>0</v>
      </c>
    </row>
    <row r="18" spans="1:29" x14ac:dyDescent="0.25">
      <c r="A18" s="138">
        <v>13</v>
      </c>
      <c r="B18" s="45" t="s">
        <v>185</v>
      </c>
      <c r="C18" s="51"/>
      <c r="D18" s="48"/>
      <c r="G18" s="50"/>
      <c r="H18" s="50"/>
      <c r="AC18" s="4">
        <f t="shared" si="1"/>
        <v>0</v>
      </c>
    </row>
    <row r="19" spans="1:29" x14ac:dyDescent="0.25">
      <c r="A19" s="138">
        <v>14</v>
      </c>
      <c r="B19" s="4" t="s">
        <v>201</v>
      </c>
      <c r="C19" s="51">
        <v>26</v>
      </c>
      <c r="D19" s="48" t="s">
        <v>195</v>
      </c>
      <c r="E19" s="52">
        <v>125</v>
      </c>
      <c r="F19" s="49">
        <f>C19*E19</f>
        <v>3250</v>
      </c>
      <c r="G19" s="50">
        <v>9</v>
      </c>
      <c r="H19" s="50">
        <v>7</v>
      </c>
      <c r="AC19" s="4">
        <f t="shared" si="1"/>
        <v>0</v>
      </c>
    </row>
    <row r="20" spans="1:29" x14ac:dyDescent="0.25">
      <c r="A20" s="138">
        <v>15</v>
      </c>
      <c r="B20" s="4" t="s">
        <v>224</v>
      </c>
      <c r="C20" s="51">
        <v>1</v>
      </c>
      <c r="D20" s="48" t="s">
        <v>195</v>
      </c>
      <c r="E20" s="52">
        <v>5252</v>
      </c>
      <c r="F20" s="49">
        <f>C20*E20</f>
        <v>5252</v>
      </c>
      <c r="G20" s="50">
        <v>2</v>
      </c>
      <c r="H20" s="50">
        <v>3</v>
      </c>
      <c r="AC20" s="4">
        <f t="shared" si="1"/>
        <v>0</v>
      </c>
    </row>
    <row r="21" spans="1:29" x14ac:dyDescent="0.25">
      <c r="A21" s="138">
        <v>16</v>
      </c>
      <c r="B21" s="45" t="s">
        <v>202</v>
      </c>
      <c r="C21" s="51"/>
      <c r="D21" s="48"/>
      <c r="G21" s="50"/>
      <c r="H21" s="50"/>
      <c r="AC21" s="4">
        <f t="shared" si="1"/>
        <v>0</v>
      </c>
    </row>
    <row r="22" spans="1:29" x14ac:dyDescent="0.25">
      <c r="A22" s="138">
        <v>17</v>
      </c>
      <c r="B22" s="4" t="s">
        <v>203</v>
      </c>
      <c r="C22" s="51">
        <v>1</v>
      </c>
      <c r="D22" s="48" t="s">
        <v>198</v>
      </c>
      <c r="E22" s="52">
        <v>1500</v>
      </c>
      <c r="F22" s="49">
        <f>C22*E22</f>
        <v>1500</v>
      </c>
      <c r="G22" s="50">
        <v>4</v>
      </c>
      <c r="H22" s="50">
        <v>4</v>
      </c>
      <c r="AC22" s="4">
        <f t="shared" si="1"/>
        <v>0</v>
      </c>
    </row>
    <row r="23" spans="1:29" x14ac:dyDescent="0.25">
      <c r="A23" s="138">
        <v>18</v>
      </c>
      <c r="B23" s="4" t="s">
        <v>204</v>
      </c>
      <c r="C23" s="51">
        <v>1</v>
      </c>
      <c r="D23" s="48" t="s">
        <v>195</v>
      </c>
      <c r="E23" s="52">
        <v>21520</v>
      </c>
      <c r="F23" s="49">
        <f>C23*E23</f>
        <v>21520</v>
      </c>
      <c r="G23" s="50">
        <v>10</v>
      </c>
      <c r="H23" s="50">
        <v>10</v>
      </c>
      <c r="AC23" s="4">
        <f t="shared" si="1"/>
        <v>0</v>
      </c>
    </row>
    <row r="24" spans="1:29" x14ac:dyDescent="0.25">
      <c r="A24" s="138">
        <v>19</v>
      </c>
      <c r="B24" s="45" t="s">
        <v>205</v>
      </c>
      <c r="C24" s="51"/>
      <c r="D24" s="48"/>
      <c r="G24" s="50"/>
      <c r="H24" s="50"/>
      <c r="AC24" s="4">
        <f t="shared" si="1"/>
        <v>0</v>
      </c>
    </row>
    <row r="25" spans="1:29" x14ac:dyDescent="0.25">
      <c r="A25" s="138">
        <v>20</v>
      </c>
      <c r="B25" s="4" t="s">
        <v>192</v>
      </c>
      <c r="C25" s="51">
        <v>2</v>
      </c>
      <c r="D25" s="48" t="s">
        <v>86</v>
      </c>
      <c r="E25" s="52">
        <v>3252</v>
      </c>
      <c r="F25" s="49">
        <f>C25*E25</f>
        <v>6504</v>
      </c>
      <c r="G25" s="50">
        <v>4</v>
      </c>
      <c r="H25" s="50">
        <v>4</v>
      </c>
      <c r="AC25" s="4">
        <f t="shared" si="1"/>
        <v>0</v>
      </c>
    </row>
    <row r="26" spans="1:29" x14ac:dyDescent="0.25">
      <c r="A26" s="138">
        <v>21</v>
      </c>
      <c r="B26" s="45" t="s">
        <v>206</v>
      </c>
      <c r="C26" s="51"/>
      <c r="D26" s="48"/>
      <c r="G26" s="50"/>
      <c r="H26" s="50"/>
      <c r="AC26" s="4">
        <f t="shared" si="1"/>
        <v>0</v>
      </c>
    </row>
    <row r="27" spans="1:29" x14ac:dyDescent="0.25">
      <c r="A27" s="138">
        <v>22</v>
      </c>
      <c r="B27" s="45" t="s">
        <v>207</v>
      </c>
      <c r="C27" s="51"/>
      <c r="D27" s="48"/>
      <c r="G27" s="50"/>
      <c r="H27" s="50"/>
      <c r="AC27" s="4">
        <f t="shared" si="1"/>
        <v>0</v>
      </c>
    </row>
    <row r="28" spans="1:29" x14ac:dyDescent="0.25">
      <c r="A28" s="138">
        <v>23</v>
      </c>
      <c r="B28" s="4" t="s">
        <v>208</v>
      </c>
      <c r="C28" s="51">
        <v>1</v>
      </c>
      <c r="D28" s="48" t="s">
        <v>195</v>
      </c>
      <c r="E28" s="52">
        <v>2848</v>
      </c>
      <c r="F28" s="49">
        <f>C28*E28</f>
        <v>2848</v>
      </c>
      <c r="G28" s="50">
        <v>3</v>
      </c>
      <c r="H28" s="50">
        <v>4</v>
      </c>
      <c r="AC28" s="4">
        <f t="shared" si="1"/>
        <v>0</v>
      </c>
    </row>
    <row r="29" spans="1:29" x14ac:dyDescent="0.25">
      <c r="A29" s="138">
        <v>24</v>
      </c>
      <c r="B29" s="45" t="s">
        <v>209</v>
      </c>
      <c r="C29" s="51"/>
      <c r="D29" s="48"/>
      <c r="G29" s="50"/>
      <c r="H29" s="50"/>
      <c r="AC29" s="4">
        <f t="shared" si="1"/>
        <v>0</v>
      </c>
    </row>
    <row r="30" spans="1:29" x14ac:dyDescent="0.25">
      <c r="A30" s="138">
        <v>25</v>
      </c>
      <c r="B30" s="45" t="s">
        <v>210</v>
      </c>
      <c r="C30" s="51"/>
      <c r="D30" s="48"/>
      <c r="G30" s="50"/>
      <c r="H30" s="50"/>
      <c r="AC30" s="4">
        <f t="shared" si="1"/>
        <v>0</v>
      </c>
    </row>
    <row r="31" spans="1:29" x14ac:dyDescent="0.25">
      <c r="A31" s="138">
        <v>26</v>
      </c>
      <c r="B31" s="45" t="s">
        <v>211</v>
      </c>
      <c r="C31" s="51"/>
      <c r="D31" s="48"/>
      <c r="G31" s="50"/>
      <c r="H31" s="50"/>
      <c r="AC31" s="4">
        <f t="shared" si="1"/>
        <v>0</v>
      </c>
    </row>
    <row r="32" spans="1:29" x14ac:dyDescent="0.25">
      <c r="A32" s="138">
        <v>27</v>
      </c>
      <c r="B32" s="45" t="s">
        <v>212</v>
      </c>
      <c r="C32" s="51"/>
      <c r="D32" s="48"/>
      <c r="G32" s="50"/>
      <c r="H32" s="50"/>
      <c r="AC32" s="4">
        <f t="shared" si="1"/>
        <v>0</v>
      </c>
    </row>
    <row r="33" spans="1:29" x14ac:dyDescent="0.25">
      <c r="A33" s="138">
        <v>28</v>
      </c>
      <c r="B33" s="45" t="s">
        <v>213</v>
      </c>
      <c r="C33" s="51"/>
      <c r="D33" s="48"/>
      <c r="G33" s="50"/>
      <c r="H33" s="50"/>
      <c r="AC33" s="4">
        <f t="shared" si="1"/>
        <v>0</v>
      </c>
    </row>
    <row r="34" spans="1:29" x14ac:dyDescent="0.25">
      <c r="A34" s="138">
        <v>29</v>
      </c>
      <c r="B34" s="4" t="s">
        <v>236</v>
      </c>
      <c r="C34" s="51">
        <v>4</v>
      </c>
      <c r="D34" s="48" t="s">
        <v>195</v>
      </c>
      <c r="E34" s="52">
        <v>990</v>
      </c>
      <c r="F34" s="49">
        <f>C34*E34</f>
        <v>3960</v>
      </c>
      <c r="G34" s="50">
        <v>1</v>
      </c>
      <c r="H34" s="50">
        <v>3</v>
      </c>
      <c r="AC34" s="4">
        <f t="shared" si="1"/>
        <v>0</v>
      </c>
    </row>
    <row r="35" spans="1:29" x14ac:dyDescent="0.25">
      <c r="A35" s="138">
        <v>30</v>
      </c>
      <c r="B35" s="4" t="s">
        <v>233</v>
      </c>
      <c r="C35" s="51">
        <v>4</v>
      </c>
      <c r="D35" s="48" t="s">
        <v>195</v>
      </c>
      <c r="E35" s="52">
        <v>758</v>
      </c>
      <c r="F35" s="49">
        <f>C35*E35</f>
        <v>3032</v>
      </c>
      <c r="G35" s="50">
        <v>9</v>
      </c>
      <c r="H35" s="50">
        <v>9</v>
      </c>
      <c r="AC35" s="4">
        <f t="shared" si="1"/>
        <v>0</v>
      </c>
    </row>
    <row r="36" spans="1:29" x14ac:dyDescent="0.25">
      <c r="A36" s="138">
        <v>31</v>
      </c>
      <c r="B36" s="45" t="s">
        <v>214</v>
      </c>
      <c r="C36" s="51"/>
      <c r="D36" s="48"/>
      <c r="G36" s="50"/>
      <c r="H36" s="50"/>
      <c r="AC36" s="4">
        <f t="shared" si="1"/>
        <v>0</v>
      </c>
    </row>
    <row r="37" spans="1:29" x14ac:dyDescent="0.25">
      <c r="A37" s="138">
        <v>32</v>
      </c>
      <c r="B37" s="45" t="s">
        <v>215</v>
      </c>
      <c r="C37" s="51"/>
      <c r="D37" s="48"/>
      <c r="G37" s="50"/>
      <c r="H37" s="50"/>
      <c r="AC37" s="4">
        <f t="shared" si="1"/>
        <v>0</v>
      </c>
    </row>
    <row r="38" spans="1:29" x14ac:dyDescent="0.25">
      <c r="A38" s="138">
        <v>33</v>
      </c>
      <c r="B38" s="4" t="s">
        <v>235</v>
      </c>
      <c r="C38" s="51">
        <v>35</v>
      </c>
      <c r="D38" s="48" t="s">
        <v>86</v>
      </c>
      <c r="E38" s="52">
        <v>60</v>
      </c>
      <c r="F38" s="49">
        <f>C38*E38</f>
        <v>2100</v>
      </c>
      <c r="G38" s="50">
        <v>7</v>
      </c>
      <c r="H38" s="50">
        <v>7</v>
      </c>
      <c r="AC38" s="4">
        <f t="shared" si="1"/>
        <v>0</v>
      </c>
    </row>
    <row r="39" spans="1:29" x14ac:dyDescent="0.25">
      <c r="A39" s="138">
        <v>34</v>
      </c>
      <c r="B39" s="4" t="s">
        <v>216</v>
      </c>
      <c r="C39" s="51">
        <v>325</v>
      </c>
      <c r="D39" s="48" t="s">
        <v>86</v>
      </c>
      <c r="E39" s="52">
        <v>60</v>
      </c>
      <c r="F39" s="49">
        <f>C39*E39</f>
        <v>19500</v>
      </c>
      <c r="G39" s="50">
        <v>2</v>
      </c>
      <c r="H39" s="50">
        <v>10</v>
      </c>
      <c r="AC39" s="4">
        <f t="shared" si="1"/>
        <v>0</v>
      </c>
    </row>
    <row r="40" spans="1:29" x14ac:dyDescent="0.25">
      <c r="A40" s="138">
        <v>35</v>
      </c>
      <c r="B40" s="45" t="s">
        <v>217</v>
      </c>
      <c r="C40" s="51"/>
      <c r="D40" s="48"/>
      <c r="G40" s="50"/>
      <c r="H40" s="50"/>
      <c r="AC40" s="4">
        <f t="shared" si="1"/>
        <v>0</v>
      </c>
    </row>
    <row r="41" spans="1:29" x14ac:dyDescent="0.25">
      <c r="A41" s="138">
        <v>36</v>
      </c>
      <c r="B41" s="45" t="s">
        <v>218</v>
      </c>
      <c r="C41" s="51"/>
      <c r="D41" s="48"/>
      <c r="G41" s="50"/>
      <c r="H41" s="50"/>
      <c r="AC41" s="4">
        <f t="shared" si="1"/>
        <v>0</v>
      </c>
    </row>
    <row r="42" spans="1:29" x14ac:dyDescent="0.25">
      <c r="A42" s="138">
        <v>37</v>
      </c>
      <c r="B42" s="4" t="s">
        <v>234</v>
      </c>
      <c r="C42" s="51">
        <v>2</v>
      </c>
      <c r="D42" s="48" t="s">
        <v>86</v>
      </c>
      <c r="E42" s="52">
        <v>1874</v>
      </c>
      <c r="F42" s="49">
        <f>C42*E42</f>
        <v>3748</v>
      </c>
      <c r="G42" s="50">
        <v>2</v>
      </c>
      <c r="H42" s="50">
        <v>3</v>
      </c>
      <c r="AC42" s="4">
        <f t="shared" si="1"/>
        <v>0</v>
      </c>
    </row>
    <row r="43" spans="1:29" x14ac:dyDescent="0.25">
      <c r="A43" s="138">
        <v>38</v>
      </c>
      <c r="B43" s="45" t="s">
        <v>219</v>
      </c>
      <c r="C43" s="51"/>
      <c r="D43" s="48"/>
      <c r="G43" s="50"/>
      <c r="H43" s="50"/>
      <c r="AC43" s="4">
        <f t="shared" si="1"/>
        <v>0</v>
      </c>
    </row>
    <row r="44" spans="1:29" x14ac:dyDescent="0.25">
      <c r="A44" s="138">
        <v>39</v>
      </c>
      <c r="B44" s="4" t="s">
        <v>220</v>
      </c>
      <c r="C44" s="51">
        <v>2</v>
      </c>
      <c r="D44" s="48" t="s">
        <v>86</v>
      </c>
      <c r="E44" s="52">
        <v>2215</v>
      </c>
      <c r="F44" s="49">
        <f>C44*E44</f>
        <v>4430</v>
      </c>
      <c r="G44" s="50">
        <v>2</v>
      </c>
      <c r="H44" s="50">
        <v>3</v>
      </c>
      <c r="AC44" s="4">
        <f t="shared" si="1"/>
        <v>0</v>
      </c>
    </row>
    <row r="45" spans="1:29" x14ac:dyDescent="0.25">
      <c r="A45" s="138">
        <v>40</v>
      </c>
      <c r="B45" s="4" t="s">
        <v>191</v>
      </c>
      <c r="C45" s="51">
        <v>2</v>
      </c>
      <c r="D45" s="48" t="s">
        <v>86</v>
      </c>
      <c r="E45" s="52">
        <v>2500</v>
      </c>
      <c r="F45" s="49">
        <f>C45*E45</f>
        <v>5000</v>
      </c>
      <c r="G45" s="50">
        <v>5</v>
      </c>
      <c r="H45" s="50">
        <v>6</v>
      </c>
      <c r="AC45" s="4">
        <f t="shared" si="1"/>
        <v>0</v>
      </c>
    </row>
    <row r="46" spans="1:29" x14ac:dyDescent="0.25">
      <c r="A46" s="138">
        <v>41</v>
      </c>
      <c r="B46" s="45" t="s">
        <v>174</v>
      </c>
      <c r="C46" s="51"/>
      <c r="D46" s="48"/>
      <c r="G46" s="50"/>
      <c r="H46" s="50"/>
      <c r="AC46" s="4">
        <f t="shared" si="1"/>
        <v>0</v>
      </c>
    </row>
    <row r="47" spans="1:29" x14ac:dyDescent="0.25">
      <c r="A47" s="138">
        <v>42</v>
      </c>
      <c r="B47" s="45" t="s">
        <v>94</v>
      </c>
      <c r="C47" s="51"/>
      <c r="D47" s="48"/>
      <c r="F47" s="49">
        <f>SUM(F7:F45)</f>
        <v>152643</v>
      </c>
      <c r="G47" s="50"/>
      <c r="H47" s="50"/>
      <c r="AC47" s="4">
        <f t="shared" si="1"/>
        <v>0</v>
      </c>
    </row>
  </sheetData>
  <phoneticPr fontId="36" type="noConversion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N25"/>
  <sheetViews>
    <sheetView zoomScale="90" zoomScaleNormal="90" workbookViewId="0">
      <selection activeCell="D9" sqref="D9"/>
    </sheetView>
  </sheetViews>
  <sheetFormatPr defaultColWidth="11.7109375" defaultRowHeight="15" x14ac:dyDescent="0.25"/>
  <cols>
    <col min="1" max="1" width="11.7109375" style="6"/>
    <col min="2" max="2" width="13.85546875" style="7" customWidth="1"/>
    <col min="3" max="3" width="15.28515625" style="8" customWidth="1"/>
    <col min="4" max="4" width="17.7109375" bestFit="1" customWidth="1"/>
    <col min="6" max="6" width="11.7109375" style="61" hidden="1" customWidth="1"/>
    <col min="7" max="7" width="13.5703125" style="8" bestFit="1" customWidth="1"/>
    <col min="9" max="9" width="16.140625" style="9" customWidth="1"/>
    <col min="10" max="10" width="11.7109375" style="9"/>
    <col min="13" max="13" width="22.85546875" bestFit="1" customWidth="1"/>
    <col min="15" max="15" width="29.85546875" bestFit="1" customWidth="1"/>
  </cols>
  <sheetData>
    <row r="1" spans="1:14" x14ac:dyDescent="0.25">
      <c r="F1" s="81" t="s">
        <v>28</v>
      </c>
    </row>
    <row r="2" spans="1:14" s="12" customFormat="1" ht="15.75" x14ac:dyDescent="0.25">
      <c r="A2" s="10"/>
      <c r="B2" s="63" t="s">
        <v>29</v>
      </c>
      <c r="C2" s="11"/>
      <c r="F2" s="82"/>
      <c r="G2" s="11"/>
      <c r="I2" s="13"/>
      <c r="J2" s="13"/>
    </row>
    <row r="3" spans="1:14" x14ac:dyDescent="0.25">
      <c r="F3" s="81"/>
    </row>
    <row r="4" spans="1:14" s="6" customFormat="1" ht="45" x14ac:dyDescent="0.25">
      <c r="A4" s="94" t="s">
        <v>30</v>
      </c>
      <c r="B4" s="94" t="s">
        <v>31</v>
      </c>
      <c r="C4" s="95" t="s">
        <v>32</v>
      </c>
      <c r="D4" s="94" t="s">
        <v>33</v>
      </c>
      <c r="E4" s="94" t="s">
        <v>34</v>
      </c>
      <c r="F4" s="96" t="s">
        <v>160</v>
      </c>
      <c r="G4" s="95" t="s">
        <v>35</v>
      </c>
      <c r="H4" s="94" t="s">
        <v>25</v>
      </c>
      <c r="I4" s="95" t="s">
        <v>36</v>
      </c>
      <c r="J4" s="95" t="s">
        <v>37</v>
      </c>
      <c r="K4" s="95" t="s">
        <v>189</v>
      </c>
    </row>
    <row r="5" spans="1:14" x14ac:dyDescent="0.25">
      <c r="A5" s="97" t="s">
        <v>38</v>
      </c>
      <c r="B5" s="98" t="s">
        <v>39</v>
      </c>
      <c r="C5" s="99" t="s">
        <v>40</v>
      </c>
      <c r="D5" s="97" t="s">
        <v>41</v>
      </c>
      <c r="E5" s="97" t="s">
        <v>42</v>
      </c>
      <c r="F5" s="100" t="s">
        <v>43</v>
      </c>
      <c r="G5" s="99" t="s">
        <v>44</v>
      </c>
      <c r="H5" s="97" t="s">
        <v>45</v>
      </c>
      <c r="I5" s="101" t="s">
        <v>46</v>
      </c>
      <c r="J5" s="101" t="s">
        <v>47</v>
      </c>
      <c r="K5" s="101" t="s">
        <v>188</v>
      </c>
    </row>
    <row r="6" spans="1:14" s="6" customFormat="1" ht="15.75" x14ac:dyDescent="0.25">
      <c r="A6" s="17"/>
      <c r="B6" s="14"/>
      <c r="C6" s="15" t="s">
        <v>48</v>
      </c>
      <c r="D6" s="18"/>
      <c r="E6" s="19">
        <f>'Inputs and assumptions '!C9</f>
        <v>2258</v>
      </c>
      <c r="F6" s="20"/>
      <c r="G6" s="15"/>
      <c r="H6" s="20">
        <f>IA_ContingencyAllowance</f>
        <v>0.08</v>
      </c>
      <c r="I6" s="16" t="s">
        <v>49</v>
      </c>
      <c r="J6" s="21">
        <f>IA_ReturnRate</f>
        <v>0.03</v>
      </c>
      <c r="K6" s="21"/>
    </row>
    <row r="7" spans="1:14" s="28" customFormat="1" ht="15.75" x14ac:dyDescent="0.25">
      <c r="A7" s="22" t="s">
        <v>159</v>
      </c>
      <c r="B7" s="23">
        <v>46507</v>
      </c>
      <c r="C7" s="24">
        <v>40171</v>
      </c>
      <c r="D7" s="25">
        <v>29957</v>
      </c>
      <c r="E7" s="26">
        <f>D7/'Inputs and assumptions '!C9</f>
        <v>13.267050487156776</v>
      </c>
      <c r="F7" s="75"/>
      <c r="G7" s="27">
        <f>SUMIF('Summary Page for Building Data'!G:G,0,'Summary Page for Building Data'!F:F)</f>
        <v>0</v>
      </c>
      <c r="H7" s="24">
        <f>G7*H6</f>
        <v>0</v>
      </c>
      <c r="I7" s="24">
        <v>56000</v>
      </c>
      <c r="J7" s="27">
        <f>I7*J6</f>
        <v>1680</v>
      </c>
      <c r="K7" s="137">
        <f>G7+H7</f>
        <v>0</v>
      </c>
    </row>
    <row r="8" spans="1:14" ht="16.5" thickBot="1" x14ac:dyDescent="0.3">
      <c r="A8" s="62">
        <v>1</v>
      </c>
      <c r="B8" s="139">
        <f t="shared" ref="B8:B17" si="0">DATE(YEAR(B7)+1,MONTH(B7),DAY(B7))</f>
        <v>46873</v>
      </c>
      <c r="C8" s="15">
        <f t="shared" ref="C8:C17" si="1">SUM(I7:J7)</f>
        <v>57680</v>
      </c>
      <c r="D8" s="131">
        <f>AverageGoal*(1+IA_CPI)^(A8-1)</f>
        <v>30000</v>
      </c>
      <c r="E8" s="140">
        <f>D8/E6</f>
        <v>13.286093888396811</v>
      </c>
      <c r="F8" s="20"/>
      <c r="G8" s="15">
        <v>4078.8</v>
      </c>
      <c r="H8" s="15">
        <f>G8*H6</f>
        <v>326.30400000000003</v>
      </c>
      <c r="I8" s="15">
        <f t="shared" ref="I8:I17" si="2">C8+D8-G8-H8</f>
        <v>83274.895999999993</v>
      </c>
      <c r="J8" s="15">
        <f>IF(I8&gt;0,I8*J6,0)</f>
        <v>2498.2468799999997</v>
      </c>
      <c r="K8" s="137">
        <f t="shared" ref="K8:K17" si="3">G8+H8</f>
        <v>4405.1040000000003</v>
      </c>
      <c r="M8" s="29" t="s">
        <v>50</v>
      </c>
      <c r="N8" s="132"/>
    </row>
    <row r="9" spans="1:14" ht="16.5" thickBot="1" x14ac:dyDescent="0.3">
      <c r="A9" s="62">
        <v>2</v>
      </c>
      <c r="B9" s="139">
        <f t="shared" si="0"/>
        <v>47238</v>
      </c>
      <c r="C9" s="15">
        <f t="shared" si="1"/>
        <v>85773.142879999999</v>
      </c>
      <c r="D9" s="131">
        <v>30250</v>
      </c>
      <c r="E9" s="140">
        <f>D9/E6</f>
        <v>13.396811337466785</v>
      </c>
      <c r="F9" s="20">
        <f t="shared" ref="F9:F17" si="4">(D9-D8)/D8</f>
        <v>8.3333333333333332E-3</v>
      </c>
      <c r="G9" s="15">
        <v>38383.362000000001</v>
      </c>
      <c r="H9" s="15">
        <f>G9*H6</f>
        <v>3070.66896</v>
      </c>
      <c r="I9" s="15">
        <f t="shared" si="2"/>
        <v>74569.11192000001</v>
      </c>
      <c r="J9" s="15">
        <f>IF(I9&gt;0,I9*J6,0)</f>
        <v>2237.0733576000002</v>
      </c>
      <c r="K9" s="137">
        <f t="shared" si="3"/>
        <v>41454.030960000004</v>
      </c>
      <c r="M9" s="30">
        <v>120000</v>
      </c>
    </row>
    <row r="10" spans="1:14" ht="15.75" x14ac:dyDescent="0.25">
      <c r="A10" s="62">
        <v>3</v>
      </c>
      <c r="B10" s="139">
        <f t="shared" si="0"/>
        <v>47603</v>
      </c>
      <c r="C10" s="15">
        <f t="shared" si="1"/>
        <v>76806.185277600016</v>
      </c>
      <c r="D10" s="131">
        <v>30850</v>
      </c>
      <c r="E10" s="140">
        <f>D10/E6</f>
        <v>13.662533215234721</v>
      </c>
      <c r="F10" s="20">
        <f t="shared" si="4"/>
        <v>1.9834710743801654E-2</v>
      </c>
      <c r="G10" s="15">
        <v>47109.646399999998</v>
      </c>
      <c r="H10" s="15">
        <f>G10*H6</f>
        <v>3768.7717119999998</v>
      </c>
      <c r="I10" s="15">
        <f t="shared" si="2"/>
        <v>56777.767165600017</v>
      </c>
      <c r="J10" s="15">
        <f>IF(I10&gt;0,I10*J6,0)</f>
        <v>1703.3330149680005</v>
      </c>
      <c r="K10" s="137">
        <f t="shared" si="3"/>
        <v>50878.418111999999</v>
      </c>
    </row>
    <row r="11" spans="1:14" ht="16.5" thickBot="1" x14ac:dyDescent="0.3">
      <c r="A11" s="62">
        <v>4</v>
      </c>
      <c r="B11" s="139">
        <f t="shared" si="0"/>
        <v>47968</v>
      </c>
      <c r="C11" s="15">
        <f t="shared" si="1"/>
        <v>58481.100180568013</v>
      </c>
      <c r="D11" s="131">
        <v>31000</v>
      </c>
      <c r="E11" s="140">
        <f>D11/E6</f>
        <v>13.728963684676705</v>
      </c>
      <c r="F11" s="20">
        <f t="shared" si="4"/>
        <v>4.8622366288492711E-3</v>
      </c>
      <c r="G11" s="15">
        <v>17444.260999999999</v>
      </c>
      <c r="H11" s="15">
        <f>G11*H6</f>
        <v>1395.54088</v>
      </c>
      <c r="I11" s="15">
        <f t="shared" si="2"/>
        <v>70641.298300568014</v>
      </c>
      <c r="J11" s="15">
        <f>IF(I11&gt;0,I11*J6,0)</f>
        <v>2119.2389490170403</v>
      </c>
      <c r="K11" s="137">
        <f t="shared" si="3"/>
        <v>18839.801879999999</v>
      </c>
      <c r="M11" s="29" t="s">
        <v>51</v>
      </c>
    </row>
    <row r="12" spans="1:14" ht="16.5" thickBot="1" x14ac:dyDescent="0.3">
      <c r="A12" s="62">
        <v>5</v>
      </c>
      <c r="B12" s="139">
        <f t="shared" si="0"/>
        <v>48334</v>
      </c>
      <c r="C12" s="15">
        <f t="shared" si="1"/>
        <v>72760.537249585061</v>
      </c>
      <c r="D12" s="131">
        <v>32000</v>
      </c>
      <c r="E12" s="140">
        <f>D12/E6</f>
        <v>14.171833480956598</v>
      </c>
      <c r="F12" s="20">
        <f t="shared" si="4"/>
        <v>3.2258064516129031E-2</v>
      </c>
      <c r="G12" s="15">
        <v>27161.7916</v>
      </c>
      <c r="H12" s="15">
        <f>G12*H6</f>
        <v>2172.9433280000003</v>
      </c>
      <c r="I12" s="15">
        <f t="shared" si="2"/>
        <v>75425.80232158507</v>
      </c>
      <c r="J12" s="15">
        <f>IF(I12&gt;0,I12*J6,0)</f>
        <v>2262.7740696475521</v>
      </c>
      <c r="K12" s="137">
        <f t="shared" si="3"/>
        <v>29334.734928000002</v>
      </c>
      <c r="M12" s="31">
        <f>AVERAGE(I7:I17)</f>
        <v>82474.640278483523</v>
      </c>
    </row>
    <row r="13" spans="1:14" ht="15.75" x14ac:dyDescent="0.25">
      <c r="A13" s="62">
        <v>6</v>
      </c>
      <c r="B13" s="139">
        <f t="shared" si="0"/>
        <v>48699</v>
      </c>
      <c r="C13" s="15">
        <f t="shared" si="1"/>
        <v>77688.576391232622</v>
      </c>
      <c r="D13" s="131">
        <v>32500</v>
      </c>
      <c r="E13" s="140">
        <f>D13/E6</f>
        <v>14.393268379096545</v>
      </c>
      <c r="F13" s="20">
        <f t="shared" si="4"/>
        <v>1.5625E-2</v>
      </c>
      <c r="G13" s="15">
        <v>29791.604800000001</v>
      </c>
      <c r="H13" s="15">
        <f>G13*H6</f>
        <v>2383.3283839999999</v>
      </c>
      <c r="I13" s="15">
        <f t="shared" si="2"/>
        <v>78013.643207232628</v>
      </c>
      <c r="J13" s="15">
        <f>IF(I13&gt;0,I13*J6,0)</f>
        <v>2340.4092962169789</v>
      </c>
      <c r="K13" s="137">
        <f t="shared" si="3"/>
        <v>32174.933184000001</v>
      </c>
    </row>
    <row r="14" spans="1:14" ht="15.75" x14ac:dyDescent="0.25">
      <c r="A14" s="62">
        <v>7</v>
      </c>
      <c r="B14" s="139">
        <f t="shared" si="0"/>
        <v>49064</v>
      </c>
      <c r="C14" s="15">
        <f t="shared" si="1"/>
        <v>80354.05250344961</v>
      </c>
      <c r="D14" s="131">
        <v>33500</v>
      </c>
      <c r="E14" s="140">
        <f>D14/E6</f>
        <v>14.836138175376439</v>
      </c>
      <c r="F14" s="20">
        <f t="shared" si="4"/>
        <v>3.0769230769230771E-2</v>
      </c>
      <c r="G14" s="15">
        <v>10955.716399999999</v>
      </c>
      <c r="H14" s="15">
        <f>G14*H6</f>
        <v>876.457312</v>
      </c>
      <c r="I14" s="15">
        <f t="shared" si="2"/>
        <v>102021.87879144961</v>
      </c>
      <c r="J14" s="15">
        <f>IF(I14&gt;0,I14*J6,0)</f>
        <v>3060.6563637434879</v>
      </c>
      <c r="K14" s="137">
        <f t="shared" si="3"/>
        <v>11832.173712</v>
      </c>
    </row>
    <row r="15" spans="1:14" ht="16.5" thickBot="1" x14ac:dyDescent="0.3">
      <c r="A15" s="62">
        <v>8</v>
      </c>
      <c r="B15" s="139">
        <f t="shared" si="0"/>
        <v>49429</v>
      </c>
      <c r="C15" s="15">
        <f t="shared" si="1"/>
        <v>105082.53515519309</v>
      </c>
      <c r="D15" s="131">
        <v>34500</v>
      </c>
      <c r="E15" s="140">
        <f>D15/E6</f>
        <v>15.279007971656332</v>
      </c>
      <c r="F15" s="20">
        <f t="shared" si="4"/>
        <v>2.9850746268656716E-2</v>
      </c>
      <c r="G15" s="15">
        <v>27151.9499</v>
      </c>
      <c r="H15" s="15">
        <f>G15*H6</f>
        <v>2172.155992</v>
      </c>
      <c r="I15" s="15">
        <f t="shared" si="2"/>
        <v>110258.42926319309</v>
      </c>
      <c r="J15" s="15">
        <f>IF(I15&gt;0,I15*J6,0)</f>
        <v>3307.7528778957926</v>
      </c>
      <c r="K15" s="137">
        <f t="shared" si="3"/>
        <v>29324.105892</v>
      </c>
      <c r="M15" s="29" t="s">
        <v>161</v>
      </c>
    </row>
    <row r="16" spans="1:14" ht="16.5" thickBot="1" x14ac:dyDescent="0.3">
      <c r="A16" s="62">
        <v>9</v>
      </c>
      <c r="B16" s="139">
        <f t="shared" si="0"/>
        <v>49795</v>
      </c>
      <c r="C16" s="15">
        <f t="shared" si="1"/>
        <v>113566.18214108888</v>
      </c>
      <c r="D16" s="131">
        <v>34850</v>
      </c>
      <c r="E16" s="140">
        <f>D16/E6</f>
        <v>15.434012400354296</v>
      </c>
      <c r="F16" s="20">
        <f t="shared" si="4"/>
        <v>1.0144927536231883E-2</v>
      </c>
      <c r="G16" s="15">
        <v>17701.857800000002</v>
      </c>
      <c r="H16" s="15">
        <f>G16*H6</f>
        <v>1416.1486240000002</v>
      </c>
      <c r="I16" s="15">
        <f t="shared" si="2"/>
        <v>129298.17571708889</v>
      </c>
      <c r="J16" s="15">
        <f>IF(I16&gt;0,I16*J6,0)</f>
        <v>3878.9452715126663</v>
      </c>
      <c r="K16" s="137">
        <f t="shared" si="3"/>
        <v>19118.006424000003</v>
      </c>
      <c r="M16" s="30">
        <v>30000</v>
      </c>
    </row>
    <row r="17" spans="1:11" ht="15.75" x14ac:dyDescent="0.25">
      <c r="A17" s="62">
        <v>10</v>
      </c>
      <c r="B17" s="139">
        <f t="shared" si="0"/>
        <v>50160</v>
      </c>
      <c r="C17" s="15">
        <f t="shared" si="1"/>
        <v>133177.12098860156</v>
      </c>
      <c r="D17" s="131">
        <v>35000</v>
      </c>
      <c r="E17" s="140">
        <f>D17/E6</f>
        <v>15.500442869796279</v>
      </c>
      <c r="F17" s="20">
        <f t="shared" si="4"/>
        <v>4.30416068866571E-3</v>
      </c>
      <c r="G17" s="15">
        <v>90034.333899999998</v>
      </c>
      <c r="H17" s="15">
        <f>G17*H6</f>
        <v>7202.7467120000001</v>
      </c>
      <c r="I17" s="15">
        <f t="shared" si="2"/>
        <v>70940.040376601566</v>
      </c>
      <c r="J17" s="15">
        <f>IF(I17&gt;0,I17*J6,0)</f>
        <v>2128.2012112980469</v>
      </c>
      <c r="K17" s="137">
        <f t="shared" si="3"/>
        <v>97237.080611999991</v>
      </c>
    </row>
    <row r="18" spans="1:11" ht="15.75" x14ac:dyDescent="0.25">
      <c r="B18" s="79"/>
      <c r="C18" s="76"/>
      <c r="D18" s="80"/>
      <c r="E18" s="77"/>
      <c r="F18" s="78"/>
      <c r="G18" s="76"/>
      <c r="H18" s="76"/>
      <c r="I18" s="76"/>
      <c r="J18" s="76"/>
    </row>
    <row r="19" spans="1:11" ht="15.75" x14ac:dyDescent="0.25">
      <c r="B19" s="79"/>
      <c r="C19" s="76"/>
      <c r="D19" s="80"/>
      <c r="E19" s="77"/>
      <c r="F19" s="78"/>
      <c r="G19" s="76"/>
      <c r="H19" s="76"/>
      <c r="I19" s="76"/>
      <c r="J19" s="76"/>
    </row>
    <row r="20" spans="1:11" ht="15.75" x14ac:dyDescent="0.25">
      <c r="B20" s="79"/>
      <c r="C20" s="76"/>
      <c r="D20" s="80"/>
      <c r="E20" s="77"/>
      <c r="F20" s="78"/>
      <c r="G20" s="76"/>
      <c r="H20" s="76"/>
      <c r="I20" s="76"/>
      <c r="J20" s="76"/>
    </row>
    <row r="21" spans="1:11" ht="15.75" x14ac:dyDescent="0.25">
      <c r="B21" s="79"/>
      <c r="C21" s="76"/>
      <c r="D21" s="80"/>
      <c r="E21" s="77"/>
      <c r="F21" s="78"/>
      <c r="G21" s="76"/>
      <c r="H21" s="76"/>
      <c r="I21" s="76"/>
      <c r="J21" s="76"/>
    </row>
    <row r="22" spans="1:11" ht="15.75" x14ac:dyDescent="0.25">
      <c r="B22" s="79"/>
      <c r="C22" s="76"/>
      <c r="D22" s="80"/>
      <c r="E22" s="77"/>
      <c r="F22" s="78"/>
      <c r="G22" s="76"/>
      <c r="H22" s="76"/>
      <c r="I22" s="76"/>
      <c r="J22" s="76"/>
    </row>
    <row r="23" spans="1:11" ht="15.75" x14ac:dyDescent="0.25">
      <c r="B23" s="79"/>
      <c r="C23" s="76"/>
      <c r="D23" s="80"/>
      <c r="E23" s="77"/>
      <c r="F23" s="78"/>
      <c r="G23" s="76"/>
      <c r="H23" s="76"/>
      <c r="I23" s="76"/>
      <c r="J23" s="76"/>
    </row>
    <row r="24" spans="1:11" ht="15.75" x14ac:dyDescent="0.25">
      <c r="B24" s="79"/>
      <c r="C24" s="76"/>
      <c r="D24" s="80"/>
      <c r="E24" s="77"/>
      <c r="F24" s="78"/>
      <c r="G24" s="76"/>
      <c r="H24" s="76"/>
      <c r="I24" s="76"/>
      <c r="J24" s="76"/>
    </row>
    <row r="25" spans="1:11" ht="15.75" x14ac:dyDescent="0.25">
      <c r="B25" s="79"/>
      <c r="C25" s="76"/>
      <c r="D25" s="80"/>
      <c r="E25" s="77"/>
      <c r="F25" s="78"/>
      <c r="G25" s="76"/>
      <c r="H25" s="76"/>
      <c r="I25" s="76"/>
      <c r="J25" s="7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Test">
                <anchor moveWithCells="1" sizeWithCells="1">
                  <from>
                    <xdr:col>12</xdr:col>
                    <xdr:colOff>38100</xdr:colOff>
                    <xdr:row>3</xdr:row>
                    <xdr:rowOff>57150</xdr:rowOff>
                  </from>
                  <to>
                    <xdr:col>12</xdr:col>
                    <xdr:colOff>1390650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A2:AC27"/>
  <sheetViews>
    <sheetView zoomScale="70" zoomScaleNormal="70" workbookViewId="0">
      <selection activeCell="E8" sqref="E8:N8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16384" width="8" style="1"/>
  </cols>
  <sheetData>
    <row r="2" spans="1:29" s="12" customFormat="1" ht="15.75" x14ac:dyDescent="0.25">
      <c r="B2" s="12" t="s">
        <v>29</v>
      </c>
    </row>
    <row r="4" spans="1:29" ht="15.75" x14ac:dyDescent="0.25">
      <c r="F4" s="71" t="s">
        <v>52</v>
      </c>
    </row>
    <row r="7" spans="1:29" ht="15.75" x14ac:dyDescent="0.25">
      <c r="C7" s="32" t="s">
        <v>53</v>
      </c>
      <c r="D7" s="67" t="s">
        <v>54</v>
      </c>
      <c r="E7" s="67" t="s">
        <v>55</v>
      </c>
      <c r="F7" s="67" t="s">
        <v>56</v>
      </c>
      <c r="G7" s="67" t="s">
        <v>57</v>
      </c>
      <c r="H7" s="67" t="s">
        <v>58</v>
      </c>
      <c r="I7" s="67" t="s">
        <v>59</v>
      </c>
      <c r="J7" s="67" t="s">
        <v>60</v>
      </c>
      <c r="K7" s="67" t="s">
        <v>61</v>
      </c>
      <c r="L7" s="67" t="s">
        <v>62</v>
      </c>
      <c r="M7" s="67" t="s">
        <v>63</v>
      </c>
      <c r="N7" s="67" t="s">
        <v>64</v>
      </c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</row>
    <row r="8" spans="1:29" ht="15.75" x14ac:dyDescent="0.25">
      <c r="A8"/>
      <c r="B8"/>
      <c r="C8" s="32" t="s">
        <v>14</v>
      </c>
      <c r="D8" s="68">
        <v>0</v>
      </c>
      <c r="E8" s="68">
        <v>4078.8</v>
      </c>
      <c r="F8" s="68">
        <v>38383.361999999994</v>
      </c>
      <c r="G8" s="68">
        <v>47109.646424000013</v>
      </c>
      <c r="H8" s="68">
        <v>17444.261046190004</v>
      </c>
      <c r="I8" s="68">
        <v>27161.791560849</v>
      </c>
      <c r="J8" s="68">
        <v>29791.604798398555</v>
      </c>
      <c r="K8" s="68">
        <v>10955.716393204744</v>
      </c>
      <c r="L8" s="68">
        <v>27151.949924462166</v>
      </c>
      <c r="M8" s="68">
        <v>17701.857785011362</v>
      </c>
      <c r="N8" s="68">
        <v>90034.333917780139</v>
      </c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</row>
    <row r="9" spans="1:29" ht="15.75" x14ac:dyDescent="0.25">
      <c r="A9"/>
      <c r="B9"/>
      <c r="C9" s="32" t="s">
        <v>65</v>
      </c>
      <c r="D9" s="68">
        <f>IA_CurrentBalance</f>
        <v>40171</v>
      </c>
      <c r="E9" s="102">
        <v>66049.2</v>
      </c>
      <c r="F9" s="102">
        <v>57622.84</v>
      </c>
      <c r="G9" s="102">
        <v>40470.19</v>
      </c>
      <c r="H9" s="102">
        <v>52982.93</v>
      </c>
      <c r="I9" s="102">
        <v>55778.14</v>
      </c>
      <c r="J9" s="102">
        <v>55943.54</v>
      </c>
      <c r="K9" s="102">
        <v>74944.820000000007</v>
      </c>
      <c r="L9" s="102">
        <v>77749.87</v>
      </c>
      <c r="M9" s="102">
        <v>90005.01</v>
      </c>
      <c r="N9" s="102">
        <v>29927.68</v>
      </c>
      <c r="O9" s="102"/>
      <c r="P9" s="102"/>
      <c r="Q9" s="102"/>
      <c r="R9" s="102"/>
      <c r="S9" s="102"/>
      <c r="T9" s="102"/>
      <c r="U9" s="68"/>
      <c r="V9" s="68"/>
      <c r="W9" s="68"/>
      <c r="X9" s="68"/>
      <c r="Y9" s="68"/>
      <c r="Z9" s="68"/>
      <c r="AA9" s="68"/>
      <c r="AB9" s="68"/>
      <c r="AC9" s="68"/>
    </row>
    <row r="10" spans="1:29" ht="15.75" x14ac:dyDescent="0.25">
      <c r="C10" s="32" t="s">
        <v>66</v>
      </c>
      <c r="D10" s="34">
        <v>0</v>
      </c>
      <c r="E10"/>
      <c r="F10"/>
      <c r="G10"/>
      <c r="H10"/>
      <c r="I10"/>
      <c r="J10"/>
      <c r="K10"/>
      <c r="L10"/>
      <c r="M10"/>
      <c r="N10"/>
      <c r="O10" s="33"/>
      <c r="P10" s="33"/>
      <c r="Q10" s="33"/>
      <c r="R10" s="33"/>
      <c r="S10" s="33"/>
    </row>
    <row r="11" spans="1:29" ht="15.75" x14ac:dyDescent="0.25">
      <c r="C11" s="35"/>
      <c r="D11" s="36"/>
    </row>
    <row r="12" spans="1:29" ht="15.75" x14ac:dyDescent="0.25">
      <c r="C12" s="32" t="s">
        <v>67</v>
      </c>
      <c r="D12" s="37">
        <f>'Inputs and assumptions '!C14</f>
        <v>13.267050487156776</v>
      </c>
      <c r="E12" s="38">
        <f>'Optimize Contribution'!E8</f>
        <v>13.286093888396811</v>
      </c>
      <c r="F12" s="38">
        <f>'Optimize Contribution'!E9</f>
        <v>13.396811337466785</v>
      </c>
      <c r="G12" s="38">
        <f>'Optimize Contribution'!E10</f>
        <v>13.662533215234721</v>
      </c>
      <c r="H12" s="38">
        <f>'Optimize Contribution'!E11</f>
        <v>13.728963684676705</v>
      </c>
      <c r="I12" s="38">
        <f>'Optimize Contribution'!E12</f>
        <v>14.171833480956598</v>
      </c>
      <c r="J12" s="38">
        <f>'Optimize Contribution'!E13</f>
        <v>14.393268379096545</v>
      </c>
      <c r="K12" s="38">
        <f>'Optimize Contribution'!E14</f>
        <v>14.836138175376439</v>
      </c>
      <c r="L12" s="38">
        <f>'Optimize Contribution'!E15</f>
        <v>15.279007971656332</v>
      </c>
      <c r="M12" s="38">
        <f>'Optimize Contribution'!E16</f>
        <v>15.434012400354296</v>
      </c>
      <c r="N12" s="38">
        <f>'Optimize Contribution'!E17</f>
        <v>15.500442869796279</v>
      </c>
      <c r="O12" s="38">
        <f>'Optimize Contribution'!E18</f>
        <v>0</v>
      </c>
      <c r="P12" s="38">
        <f>'Optimize Contribution'!E19</f>
        <v>0</v>
      </c>
      <c r="Q12" s="38">
        <f>'Optimize Contribution'!E20</f>
        <v>0</v>
      </c>
      <c r="R12" s="38">
        <f>'Optimize Contribution'!E21</f>
        <v>0</v>
      </c>
      <c r="S12" s="38">
        <f>'Optimize Contribution'!E22</f>
        <v>0</v>
      </c>
      <c r="T12" s="38">
        <f>'Optimize Contribution'!E23</f>
        <v>0</v>
      </c>
      <c r="U12" s="38">
        <f>'Optimize Contribution'!E24</f>
        <v>0</v>
      </c>
      <c r="V12" s="38">
        <f>'Optimize Contribution'!E25</f>
        <v>0</v>
      </c>
      <c r="W12" s="38">
        <f>'Optimize Contribution'!E26</f>
        <v>0</v>
      </c>
      <c r="X12" s="38">
        <f>'Optimize Contribution'!E27</f>
        <v>0</v>
      </c>
      <c r="Y12" s="38">
        <f>'Optimize Contribution'!E28</f>
        <v>0</v>
      </c>
      <c r="Z12" s="38">
        <f>'Optimize Contribution'!E29</f>
        <v>0</v>
      </c>
      <c r="AA12" s="38">
        <f>'Optimize Contribution'!E30</f>
        <v>0</v>
      </c>
      <c r="AB12" s="38">
        <f>'Optimize Contribution'!E31</f>
        <v>0</v>
      </c>
      <c r="AC12" s="38">
        <f>'Optimize Contribution'!E32</f>
        <v>0</v>
      </c>
    </row>
    <row r="13" spans="1:29" ht="15.75" x14ac:dyDescent="0.25">
      <c r="C13" s="32" t="s">
        <v>68</v>
      </c>
      <c r="D13" s="66">
        <f>IA_FundLevy</f>
        <v>29957</v>
      </c>
      <c r="E13" s="38">
        <f>'Optimize Contribution'!D8</f>
        <v>30000</v>
      </c>
      <c r="F13" s="38">
        <f>'Optimize Contribution'!D9</f>
        <v>30250</v>
      </c>
      <c r="G13" s="38">
        <f>'Optimize Contribution'!D10</f>
        <v>30850</v>
      </c>
      <c r="H13" s="38">
        <f>'Optimize Contribution'!D11</f>
        <v>31000</v>
      </c>
      <c r="I13" s="38">
        <f>'Optimize Contribution'!D12</f>
        <v>32000</v>
      </c>
      <c r="J13" s="38">
        <f>'Optimize Contribution'!D13</f>
        <v>32500</v>
      </c>
      <c r="K13" s="38">
        <f>'Optimize Contribution'!D14</f>
        <v>33500</v>
      </c>
      <c r="L13" s="38">
        <f>'Optimize Contribution'!D15</f>
        <v>34500</v>
      </c>
      <c r="M13" s="38">
        <f>'Optimize Contribution'!D16</f>
        <v>34850</v>
      </c>
      <c r="N13" s="38">
        <f>'Optimize Contribution'!D17</f>
        <v>35000</v>
      </c>
      <c r="O13" s="38">
        <f>'Optimize Contribution'!D18</f>
        <v>0</v>
      </c>
      <c r="P13" s="38">
        <f>'Optimize Contribution'!D19</f>
        <v>0</v>
      </c>
      <c r="Q13" s="38">
        <f>'Optimize Contribution'!D20</f>
        <v>0</v>
      </c>
      <c r="R13" s="38">
        <f>'Optimize Contribution'!D21</f>
        <v>0</v>
      </c>
      <c r="S13" s="38">
        <f>'Optimize Contribution'!D22</f>
        <v>0</v>
      </c>
      <c r="T13" s="38">
        <f>'Optimize Contribution'!D23</f>
        <v>0</v>
      </c>
      <c r="U13" s="38">
        <f>'Optimize Contribution'!D24</f>
        <v>0</v>
      </c>
      <c r="V13" s="38">
        <f>'Optimize Contribution'!D25</f>
        <v>0</v>
      </c>
      <c r="W13" s="38">
        <f>'Optimize Contribution'!D26</f>
        <v>0</v>
      </c>
      <c r="X13" s="38">
        <f>'Optimize Contribution'!D27</f>
        <v>0</v>
      </c>
      <c r="Y13" s="38">
        <f>'Optimize Contribution'!D28</f>
        <v>0</v>
      </c>
      <c r="Z13" s="38">
        <f>'Optimize Contribution'!D29</f>
        <v>0</v>
      </c>
      <c r="AA13" s="38">
        <f>'Optimize Contribution'!D30</f>
        <v>0</v>
      </c>
      <c r="AB13" s="38">
        <f>'Optimize Contribution'!D31</f>
        <v>0</v>
      </c>
      <c r="AC13" s="38">
        <f>'Optimize Contribution'!D32</f>
        <v>0</v>
      </c>
    </row>
    <row r="14" spans="1:29" ht="15.75" x14ac:dyDescent="0.25">
      <c r="C14" s="35"/>
      <c r="D14" s="35"/>
    </row>
    <row r="15" spans="1:29" x14ac:dyDescent="0.25">
      <c r="F15" s="33"/>
    </row>
    <row r="18" spans="3:13" ht="15.75" x14ac:dyDescent="0.25">
      <c r="D18" s="39"/>
      <c r="E18" s="39"/>
      <c r="F18" s="39"/>
      <c r="G18" s="39"/>
      <c r="H18" s="39"/>
      <c r="I18" s="39"/>
      <c r="J18" s="39"/>
      <c r="K18" s="39"/>
      <c r="L18" s="39"/>
      <c r="M18" s="39"/>
    </row>
    <row r="19" spans="3:13" ht="15.75" x14ac:dyDescent="0.25">
      <c r="D19" s="39"/>
      <c r="E19" s="39"/>
      <c r="F19" s="39"/>
      <c r="G19" s="39"/>
      <c r="H19" s="39"/>
      <c r="I19" s="39"/>
      <c r="J19" s="39"/>
      <c r="K19" s="39"/>
      <c r="L19" s="39"/>
      <c r="M19" s="39"/>
    </row>
    <row r="23" spans="3:13" ht="15.75" x14ac:dyDescent="0.25">
      <c r="C23" s="4"/>
      <c r="D23" s="40"/>
      <c r="E23" s="40" t="s">
        <v>48</v>
      </c>
      <c r="F23" s="40"/>
      <c r="G23" s="41"/>
      <c r="H23" s="40"/>
      <c r="I23" s="40"/>
      <c r="J23" s="42">
        <v>0.08</v>
      </c>
      <c r="K23" s="40" t="s">
        <v>69</v>
      </c>
      <c r="L23" s="42">
        <v>3.5000000000000003E-2</v>
      </c>
    </row>
    <row r="24" spans="3:13" ht="15.75" x14ac:dyDescent="0.25">
      <c r="C24" s="4"/>
      <c r="D24" s="43">
        <v>43282</v>
      </c>
      <c r="E24" s="40"/>
      <c r="F24" s="40"/>
      <c r="G24" s="35"/>
      <c r="H24" s="44"/>
      <c r="I24" s="44"/>
      <c r="J24" s="44"/>
      <c r="K24" s="44">
        <v>10000</v>
      </c>
      <c r="L24" s="4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304800</xdr:colOff>
                    <xdr:row>1</xdr:row>
                    <xdr:rowOff>161925</xdr:rowOff>
                  </from>
                  <to>
                    <xdr:col>17</xdr:col>
                    <xdr:colOff>228600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58"/>
  <sheetViews>
    <sheetView zoomScale="80" zoomScaleNormal="80" workbookViewId="0">
      <selection activeCell="G52" sqref="G52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58"/>
  </cols>
  <sheetData>
    <row r="2" spans="1:32" s="12" customFormat="1" ht="15.75" x14ac:dyDescent="0.25">
      <c r="B2" s="12" t="s">
        <v>29</v>
      </c>
      <c r="AD2" s="58"/>
      <c r="AE2" s="58"/>
      <c r="AF2" s="58"/>
    </row>
    <row r="3" spans="1:32" s="4" customFormat="1" x14ac:dyDescent="0.25">
      <c r="AD3" s="58"/>
      <c r="AE3" s="58"/>
      <c r="AF3" s="58"/>
    </row>
    <row r="4" spans="1:32" s="4" customFormat="1" x14ac:dyDescent="0.25">
      <c r="B4" s="4" t="s">
        <v>114</v>
      </c>
      <c r="AD4" s="58"/>
      <c r="AE4" s="58"/>
      <c r="AF4" s="58"/>
    </row>
    <row r="5" spans="1:32" s="4" customFormat="1" x14ac:dyDescent="0.25">
      <c r="B5" s="4" t="s">
        <v>115</v>
      </c>
      <c r="AD5" s="58"/>
      <c r="AE5" s="58"/>
      <c r="AF5" s="58"/>
    </row>
    <row r="6" spans="1:32" s="4" customFormat="1" x14ac:dyDescent="0.25">
      <c r="A6"/>
      <c r="B6" s="3" t="s">
        <v>116</v>
      </c>
      <c r="D6" s="55" t="s">
        <v>117</v>
      </c>
      <c r="AD6" s="58"/>
      <c r="AE6" s="58"/>
      <c r="AF6" s="58"/>
    </row>
    <row r="7" spans="1:32" s="4" customFormat="1" x14ac:dyDescent="0.25">
      <c r="A7"/>
      <c r="B7" s="3" t="s">
        <v>118</v>
      </c>
      <c r="D7" s="55"/>
      <c r="AD7" s="58"/>
      <c r="AE7" s="58"/>
      <c r="AF7" s="58"/>
    </row>
    <row r="8" spans="1:32" s="4" customFormat="1" x14ac:dyDescent="0.25">
      <c r="A8"/>
      <c r="B8" s="3" t="s">
        <v>119</v>
      </c>
      <c r="C8" s="4">
        <f>IA_ProjectionYears</f>
        <v>10</v>
      </c>
      <c r="D8" s="55" t="s">
        <v>120</v>
      </c>
      <c r="AD8" s="58"/>
      <c r="AE8" s="58"/>
      <c r="AF8" s="58"/>
    </row>
    <row r="9" spans="1:32" s="4" customFormat="1" x14ac:dyDescent="0.25">
      <c r="A9"/>
      <c r="B9" s="3" t="s">
        <v>121</v>
      </c>
      <c r="D9" s="55"/>
      <c r="AD9" s="58"/>
      <c r="AE9" s="58"/>
      <c r="AF9" s="58"/>
    </row>
    <row r="10" spans="1:32" s="4" customFormat="1" x14ac:dyDescent="0.25">
      <c r="A10"/>
      <c r="B10"/>
      <c r="D10" s="55" t="s">
        <v>162</v>
      </c>
      <c r="AD10" s="58"/>
      <c r="AE10" s="58"/>
      <c r="AF10" s="58"/>
    </row>
    <row r="11" spans="1:32" s="4" customFormat="1" x14ac:dyDescent="0.25">
      <c r="A11"/>
      <c r="B11" s="4" t="s">
        <v>118</v>
      </c>
      <c r="C11" s="56"/>
      <c r="D11" s="55" t="s">
        <v>163</v>
      </c>
      <c r="AD11" s="58"/>
      <c r="AE11" s="58"/>
      <c r="AF11" s="58"/>
    </row>
    <row r="12" spans="1:32" s="4" customFormat="1" x14ac:dyDescent="0.25">
      <c r="A12"/>
      <c r="B12" s="4" t="s">
        <v>122</v>
      </c>
      <c r="C12" s="57">
        <v>1</v>
      </c>
      <c r="AD12" s="58"/>
      <c r="AE12" s="58"/>
      <c r="AF12" s="58"/>
    </row>
    <row r="13" spans="1:32" s="4" customFormat="1" x14ac:dyDescent="0.25">
      <c r="A13"/>
      <c r="C13" s="57"/>
      <c r="AD13" s="58"/>
      <c r="AE13" s="58"/>
      <c r="AF13" s="58"/>
    </row>
    <row r="14" spans="1:32" ht="15.75" x14ac:dyDescent="0.25">
      <c r="B14" s="83" t="s">
        <v>123</v>
      </c>
      <c r="C14" s="110" t="s">
        <v>124</v>
      </c>
      <c r="D14" s="128">
        <v>1</v>
      </c>
      <c r="E14" s="128">
        <v>2</v>
      </c>
      <c r="F14" s="128">
        <v>3</v>
      </c>
      <c r="G14" s="128">
        <v>4</v>
      </c>
      <c r="H14" s="128">
        <v>5</v>
      </c>
      <c r="I14" s="128">
        <v>6</v>
      </c>
      <c r="J14" s="128">
        <v>7</v>
      </c>
      <c r="K14" s="128">
        <v>8</v>
      </c>
      <c r="L14" s="128">
        <v>9</v>
      </c>
      <c r="M14" s="128">
        <v>10</v>
      </c>
      <c r="AD14"/>
      <c r="AE14"/>
      <c r="AF14"/>
    </row>
    <row r="15" spans="1:32" x14ac:dyDescent="0.25">
      <c r="A15" s="138">
        <v>1</v>
      </c>
      <c r="B15" s="45" t="s">
        <v>194</v>
      </c>
      <c r="C15" s="49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AD15"/>
      <c r="AE15"/>
      <c r="AF15"/>
    </row>
    <row r="16" spans="1:32" x14ac:dyDescent="0.25">
      <c r="A16" s="138">
        <v>2</v>
      </c>
      <c r="B16" s="4" t="s">
        <v>230</v>
      </c>
      <c r="C16" s="49">
        <v>5000</v>
      </c>
      <c r="D16" s="58"/>
      <c r="E16" s="58"/>
      <c r="F16" s="58"/>
      <c r="G16" s="58"/>
      <c r="H16" s="58">
        <v>5796.3703715000001</v>
      </c>
      <c r="I16" s="58"/>
      <c r="J16" s="58"/>
      <c r="K16" s="58"/>
      <c r="L16" s="58"/>
      <c r="M16" s="58">
        <v>6719.5818967206096</v>
      </c>
      <c r="N16" s="58"/>
      <c r="AD16"/>
      <c r="AE16"/>
      <c r="AF16"/>
    </row>
    <row r="17" spans="1:32" x14ac:dyDescent="0.25">
      <c r="A17" s="138">
        <v>3</v>
      </c>
      <c r="B17" s="45" t="s">
        <v>196</v>
      </c>
      <c r="C17" s="49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AD17"/>
      <c r="AE17"/>
      <c r="AF17"/>
    </row>
    <row r="18" spans="1:32" x14ac:dyDescent="0.25">
      <c r="A18" s="138">
        <v>4</v>
      </c>
      <c r="B18" s="4" t="s">
        <v>197</v>
      </c>
      <c r="C18" s="49">
        <v>17000</v>
      </c>
      <c r="D18" s="58"/>
      <c r="E18" s="58"/>
      <c r="F18" s="58"/>
      <c r="G18" s="58"/>
      <c r="H18" s="58"/>
      <c r="I18" s="58">
        <v>20298.889040993003</v>
      </c>
      <c r="J18" s="58"/>
      <c r="K18" s="58"/>
      <c r="L18" s="58"/>
      <c r="M18" s="58"/>
      <c r="N18" s="58"/>
      <c r="AD18"/>
      <c r="AE18"/>
      <c r="AF18"/>
    </row>
    <row r="19" spans="1:32" x14ac:dyDescent="0.25">
      <c r="A19" s="138">
        <v>5</v>
      </c>
      <c r="B19" s="4" t="s">
        <v>228</v>
      </c>
      <c r="C19" s="49">
        <v>4200</v>
      </c>
      <c r="D19" s="58"/>
      <c r="E19" s="58"/>
      <c r="F19" s="58"/>
      <c r="G19" s="58"/>
      <c r="H19" s="58"/>
      <c r="I19" s="58">
        <v>5015.0196454218003</v>
      </c>
      <c r="J19" s="58"/>
      <c r="K19" s="58"/>
      <c r="L19" s="58"/>
      <c r="M19" s="58"/>
      <c r="N19" s="58"/>
      <c r="AD19"/>
      <c r="AE19"/>
      <c r="AF19"/>
    </row>
    <row r="20" spans="1:32" x14ac:dyDescent="0.25">
      <c r="A20" s="138">
        <v>6</v>
      </c>
      <c r="B20" s="4" t="s">
        <v>229</v>
      </c>
      <c r="C20" s="49">
        <v>25992</v>
      </c>
      <c r="D20" s="58"/>
      <c r="E20" s="58"/>
      <c r="F20" s="58">
        <v>28402.160184000004</v>
      </c>
      <c r="G20" s="58"/>
      <c r="H20" s="58"/>
      <c r="I20" s="58"/>
      <c r="J20" s="58"/>
      <c r="K20" s="58"/>
      <c r="L20" s="58"/>
      <c r="M20" s="58">
        <v>34931.074531912433</v>
      </c>
      <c r="N20" s="58"/>
      <c r="AD20"/>
      <c r="AE20"/>
      <c r="AF20"/>
    </row>
    <row r="21" spans="1:32" x14ac:dyDescent="0.25">
      <c r="A21" s="138">
        <v>7</v>
      </c>
      <c r="B21" s="4" t="s">
        <v>221</v>
      </c>
      <c r="C21" s="49">
        <v>1192</v>
      </c>
      <c r="D21" s="58"/>
      <c r="E21" s="58"/>
      <c r="F21" s="58">
        <v>1302.5305840000001</v>
      </c>
      <c r="G21" s="58"/>
      <c r="H21" s="58"/>
      <c r="I21" s="58"/>
      <c r="J21" s="58"/>
      <c r="K21" s="58"/>
      <c r="L21" s="58"/>
      <c r="M21" s="58">
        <v>1601.9483241781938</v>
      </c>
      <c r="N21" s="58"/>
      <c r="AD21"/>
      <c r="AE21"/>
      <c r="AF21"/>
    </row>
    <row r="22" spans="1:32" x14ac:dyDescent="0.25">
      <c r="A22" s="138">
        <v>8</v>
      </c>
      <c r="B22" s="4" t="s">
        <v>231</v>
      </c>
      <c r="C22" s="49">
        <v>5280</v>
      </c>
      <c r="D22" s="58"/>
      <c r="E22" s="58"/>
      <c r="F22" s="58">
        <v>5769.5985600000004</v>
      </c>
      <c r="G22" s="58"/>
      <c r="H22" s="58"/>
      <c r="I22" s="58"/>
      <c r="J22" s="58"/>
      <c r="K22" s="58"/>
      <c r="L22" s="58"/>
      <c r="M22" s="58">
        <v>7095.8784829369661</v>
      </c>
      <c r="N22" s="58"/>
      <c r="AD22"/>
      <c r="AE22"/>
      <c r="AF22"/>
    </row>
    <row r="23" spans="1:32" x14ac:dyDescent="0.25">
      <c r="A23" s="138">
        <v>9</v>
      </c>
      <c r="B23" s="4" t="s">
        <v>223</v>
      </c>
      <c r="C23" s="49">
        <v>4050</v>
      </c>
      <c r="D23" s="58"/>
      <c r="E23" s="58"/>
      <c r="F23" s="58">
        <v>4425.5443500000001</v>
      </c>
      <c r="G23" s="58"/>
      <c r="H23" s="58"/>
      <c r="I23" s="58"/>
      <c r="J23" s="58"/>
      <c r="K23" s="58"/>
      <c r="L23" s="58"/>
      <c r="M23" s="58">
        <v>5442.8613363436953</v>
      </c>
      <c r="N23" s="58"/>
      <c r="AD23"/>
      <c r="AE23"/>
      <c r="AF23"/>
    </row>
    <row r="24" spans="1:32" x14ac:dyDescent="0.25">
      <c r="A24" s="138">
        <v>10</v>
      </c>
      <c r="B24" s="45" t="s">
        <v>199</v>
      </c>
      <c r="C24" s="49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AD24"/>
      <c r="AE24"/>
      <c r="AF24"/>
    </row>
    <row r="25" spans="1:32" x14ac:dyDescent="0.25">
      <c r="A25" s="138">
        <v>11</v>
      </c>
      <c r="B25" s="4" t="s">
        <v>232</v>
      </c>
      <c r="C25" s="49">
        <v>3535</v>
      </c>
      <c r="D25" s="58"/>
      <c r="E25" s="58"/>
      <c r="F25" s="58"/>
      <c r="G25" s="58">
        <v>3978.6736433500005</v>
      </c>
      <c r="H25" s="58"/>
      <c r="I25" s="58"/>
      <c r="J25" s="58"/>
      <c r="K25" s="58"/>
      <c r="L25" s="58">
        <v>4612.37320483638</v>
      </c>
      <c r="M25" s="58"/>
      <c r="N25" s="58"/>
      <c r="AD25"/>
      <c r="AE25"/>
      <c r="AF25"/>
    </row>
    <row r="26" spans="1:32" x14ac:dyDescent="0.25">
      <c r="A26" s="138">
        <v>12</v>
      </c>
      <c r="B26" s="4" t="s">
        <v>200</v>
      </c>
      <c r="C26" s="49">
        <v>3750</v>
      </c>
      <c r="D26" s="58"/>
      <c r="E26" s="58"/>
      <c r="F26" s="58">
        <v>4097.7262499999997</v>
      </c>
      <c r="G26" s="58"/>
      <c r="H26" s="58"/>
      <c r="I26" s="58">
        <v>4477.6961119837497</v>
      </c>
      <c r="J26" s="58"/>
      <c r="K26" s="58"/>
      <c r="L26" s="58">
        <v>4892.8994393596677</v>
      </c>
      <c r="M26" s="58"/>
      <c r="N26" s="58"/>
      <c r="AD26"/>
      <c r="AE26"/>
      <c r="AF26"/>
    </row>
    <row r="27" spans="1:32" x14ac:dyDescent="0.25">
      <c r="A27" s="138">
        <v>13</v>
      </c>
      <c r="B27" s="45" t="s">
        <v>185</v>
      </c>
      <c r="C27" s="49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AD27"/>
      <c r="AE27"/>
      <c r="AF27"/>
    </row>
    <row r="28" spans="1:32" x14ac:dyDescent="0.25">
      <c r="A28" s="138">
        <v>14</v>
      </c>
      <c r="B28" s="4" t="s">
        <v>201</v>
      </c>
      <c r="C28" s="49">
        <v>3250</v>
      </c>
      <c r="D28" s="58"/>
      <c r="E28" s="58">
        <v>3447.9250000000002</v>
      </c>
      <c r="F28" s="58"/>
      <c r="G28" s="58"/>
      <c r="H28" s="58"/>
      <c r="I28" s="58"/>
      <c r="J28" s="58"/>
      <c r="K28" s="58"/>
      <c r="L28" s="58">
        <v>4240.5128474450448</v>
      </c>
      <c r="M28" s="58"/>
      <c r="N28" s="58"/>
      <c r="AD28"/>
      <c r="AE28"/>
      <c r="AF28"/>
    </row>
    <row r="29" spans="1:32" x14ac:dyDescent="0.25">
      <c r="A29" s="138">
        <v>15</v>
      </c>
      <c r="B29" s="4" t="s">
        <v>224</v>
      </c>
      <c r="C29" s="49">
        <v>5252</v>
      </c>
      <c r="D29" s="58"/>
      <c r="E29" s="58">
        <v>5571.8468000000003</v>
      </c>
      <c r="F29" s="58"/>
      <c r="G29" s="58"/>
      <c r="H29" s="58">
        <v>6088.5074382236007</v>
      </c>
      <c r="I29" s="58"/>
      <c r="J29" s="58"/>
      <c r="K29" s="58">
        <v>6653.0764674477614</v>
      </c>
      <c r="L29" s="58"/>
      <c r="M29" s="58"/>
      <c r="N29" s="58"/>
      <c r="AD29"/>
      <c r="AE29"/>
      <c r="AF29"/>
    </row>
    <row r="30" spans="1:32" x14ac:dyDescent="0.25">
      <c r="A30" s="138">
        <v>17</v>
      </c>
      <c r="B30" s="45" t="s">
        <v>202</v>
      </c>
      <c r="C30" s="49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AD30"/>
      <c r="AE30"/>
      <c r="AF30"/>
    </row>
    <row r="31" spans="1:32" x14ac:dyDescent="0.25">
      <c r="A31" s="138">
        <v>18</v>
      </c>
      <c r="B31" s="4" t="s">
        <v>203</v>
      </c>
      <c r="C31" s="49">
        <v>1500</v>
      </c>
      <c r="D31" s="58"/>
      <c r="E31" s="58"/>
      <c r="F31" s="58"/>
      <c r="G31" s="58">
        <v>1688.2632150000004</v>
      </c>
      <c r="H31" s="58"/>
      <c r="I31" s="58"/>
      <c r="J31" s="58"/>
      <c r="K31" s="58">
        <v>1900.1551220814247</v>
      </c>
      <c r="L31" s="58"/>
      <c r="M31" s="58"/>
      <c r="N31" s="58"/>
      <c r="AD31"/>
      <c r="AE31"/>
      <c r="AF31"/>
    </row>
    <row r="32" spans="1:32" x14ac:dyDescent="0.25">
      <c r="A32" s="138">
        <v>19</v>
      </c>
      <c r="B32" s="4" t="s">
        <v>204</v>
      </c>
      <c r="C32" s="49">
        <v>21520</v>
      </c>
      <c r="D32" s="58"/>
      <c r="E32" s="58"/>
      <c r="F32" s="58"/>
      <c r="G32" s="58"/>
      <c r="H32" s="58"/>
      <c r="I32" s="58"/>
      <c r="J32" s="58"/>
      <c r="K32" s="58"/>
      <c r="L32" s="58"/>
      <c r="M32" s="58">
        <v>28921.080483485519</v>
      </c>
      <c r="N32" s="58"/>
      <c r="AD32"/>
      <c r="AE32"/>
      <c r="AF32"/>
    </row>
    <row r="33" spans="1:32" x14ac:dyDescent="0.25">
      <c r="A33" s="138">
        <v>20</v>
      </c>
      <c r="B33" s="45" t="s">
        <v>205</v>
      </c>
      <c r="C33" s="49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AD33"/>
      <c r="AE33"/>
      <c r="AF33"/>
    </row>
    <row r="34" spans="1:32" x14ac:dyDescent="0.25">
      <c r="A34" s="138">
        <v>21</v>
      </c>
      <c r="B34" s="4" t="s">
        <v>192</v>
      </c>
      <c r="C34" s="49">
        <v>6504</v>
      </c>
      <c r="D34" s="58"/>
      <c r="E34" s="58"/>
      <c r="F34" s="58"/>
      <c r="G34" s="58">
        <v>7320.3093002400001</v>
      </c>
      <c r="H34" s="58"/>
      <c r="I34" s="58"/>
      <c r="J34" s="58"/>
      <c r="K34" s="58">
        <v>8239.0726093450558</v>
      </c>
      <c r="L34" s="58"/>
      <c r="M34" s="58"/>
      <c r="N34" s="58"/>
      <c r="AD34"/>
      <c r="AE34"/>
      <c r="AF34"/>
    </row>
    <row r="35" spans="1:32" x14ac:dyDescent="0.25">
      <c r="A35" s="138">
        <v>22</v>
      </c>
      <c r="B35" s="45" t="s">
        <v>206</v>
      </c>
      <c r="C35" s="49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AD35"/>
      <c r="AE35"/>
      <c r="AF35"/>
    </row>
    <row r="36" spans="1:32" s="135" customFormat="1" x14ac:dyDescent="0.25">
      <c r="A36" s="138">
        <v>23</v>
      </c>
      <c r="B36" s="45" t="s">
        <v>207</v>
      </c>
      <c r="C36" s="49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32" x14ac:dyDescent="0.25">
      <c r="A37" s="138">
        <v>24</v>
      </c>
      <c r="B37" s="4" t="s">
        <v>208</v>
      </c>
      <c r="C37" s="49">
        <v>2848</v>
      </c>
      <c r="D37" s="58"/>
      <c r="E37" s="58"/>
      <c r="F37" s="58">
        <v>3112.0864960000004</v>
      </c>
      <c r="G37" s="58"/>
      <c r="H37" s="58"/>
      <c r="I37" s="58"/>
      <c r="J37" s="58">
        <v>3502.6807687300302</v>
      </c>
      <c r="K37" s="58"/>
      <c r="L37" s="58"/>
      <c r="M37" s="58"/>
      <c r="N37" s="58"/>
      <c r="AD37"/>
      <c r="AE37"/>
      <c r="AF37"/>
    </row>
    <row r="38" spans="1:32" x14ac:dyDescent="0.25">
      <c r="A38" s="138">
        <v>25</v>
      </c>
      <c r="B38" s="45" t="s">
        <v>209</v>
      </c>
      <c r="C38" s="49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AD38"/>
      <c r="AE38"/>
      <c r="AF38"/>
    </row>
    <row r="39" spans="1:32" x14ac:dyDescent="0.25">
      <c r="A39" s="138">
        <v>26</v>
      </c>
      <c r="B39" s="45" t="s">
        <v>210</v>
      </c>
      <c r="C39" s="49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AD39"/>
      <c r="AE39"/>
      <c r="AF39"/>
    </row>
    <row r="40" spans="1:32" x14ac:dyDescent="0.25">
      <c r="A40" s="138">
        <v>27</v>
      </c>
      <c r="B40" s="45" t="s">
        <v>211</v>
      </c>
      <c r="C40" s="49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AD40"/>
      <c r="AE40"/>
      <c r="AF40"/>
    </row>
    <row r="41" spans="1:32" x14ac:dyDescent="0.25">
      <c r="A41" s="138">
        <v>28</v>
      </c>
      <c r="B41" s="45" t="s">
        <v>212</v>
      </c>
      <c r="C41" s="49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AD41"/>
      <c r="AE41"/>
      <c r="AF41"/>
    </row>
    <row r="42" spans="1:32" x14ac:dyDescent="0.25">
      <c r="A42" s="138">
        <v>29</v>
      </c>
      <c r="B42" s="45" t="s">
        <v>213</v>
      </c>
      <c r="C42" s="49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AD42"/>
      <c r="AE42"/>
      <c r="AF42"/>
    </row>
    <row r="43" spans="1:32" x14ac:dyDescent="0.25">
      <c r="A43" s="138">
        <v>30</v>
      </c>
      <c r="B43" s="4" t="s">
        <v>236</v>
      </c>
      <c r="C43" s="49">
        <v>3960</v>
      </c>
      <c r="D43" s="58">
        <v>4078.8</v>
      </c>
      <c r="E43" s="58"/>
      <c r="F43" s="58"/>
      <c r="G43" s="58">
        <v>4457.0148876000012</v>
      </c>
      <c r="H43" s="58"/>
      <c r="I43" s="58"/>
      <c r="J43" s="58">
        <v>4870.3005070824865</v>
      </c>
      <c r="K43" s="58"/>
      <c r="L43" s="58"/>
      <c r="M43" s="58">
        <v>5321.9088622027248</v>
      </c>
      <c r="N43" s="58"/>
      <c r="AD43"/>
      <c r="AE43"/>
      <c r="AF43"/>
    </row>
    <row r="44" spans="1:32" x14ac:dyDescent="0.25">
      <c r="A44" s="138">
        <v>31</v>
      </c>
      <c r="B44" s="4" t="s">
        <v>233</v>
      </c>
      <c r="C44" s="49">
        <v>3032</v>
      </c>
      <c r="D44" s="58"/>
      <c r="E44" s="58"/>
      <c r="F44" s="58"/>
      <c r="G44" s="58"/>
      <c r="H44" s="58"/>
      <c r="I44" s="58"/>
      <c r="J44" s="58"/>
      <c r="K44" s="58"/>
      <c r="L44" s="58">
        <v>3956.0722933702696</v>
      </c>
      <c r="M44" s="58"/>
      <c r="N44" s="58"/>
      <c r="AD44"/>
      <c r="AE44"/>
      <c r="AF44"/>
    </row>
    <row r="45" spans="1:32" x14ac:dyDescent="0.25">
      <c r="A45" s="138">
        <v>32</v>
      </c>
      <c r="B45" s="45" t="s">
        <v>214</v>
      </c>
      <c r="C45" s="49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AD45"/>
      <c r="AE45"/>
      <c r="AF45"/>
    </row>
    <row r="46" spans="1:32" x14ac:dyDescent="0.25">
      <c r="A46" s="138">
        <v>33</v>
      </c>
      <c r="B46" s="45" t="s">
        <v>215</v>
      </c>
      <c r="C46" s="49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AD46"/>
      <c r="AE46"/>
      <c r="AF46"/>
    </row>
    <row r="47" spans="1:32" x14ac:dyDescent="0.25">
      <c r="A47" s="138">
        <v>34</v>
      </c>
      <c r="B47" s="4" t="s">
        <v>235</v>
      </c>
      <c r="C47" s="49">
        <v>2100</v>
      </c>
      <c r="D47" s="58"/>
      <c r="E47" s="58"/>
      <c r="F47" s="58"/>
      <c r="G47" s="58"/>
      <c r="H47" s="58"/>
      <c r="I47" s="58"/>
      <c r="J47" s="58">
        <v>2582.735117392227</v>
      </c>
      <c r="K47" s="58"/>
      <c r="L47" s="58"/>
      <c r="M47" s="58"/>
      <c r="N47" s="58"/>
      <c r="AD47"/>
      <c r="AE47"/>
      <c r="AF47"/>
    </row>
    <row r="48" spans="1:32" x14ac:dyDescent="0.25">
      <c r="A48" s="138">
        <v>35</v>
      </c>
      <c r="B48" s="4" t="s">
        <v>216</v>
      </c>
      <c r="C48" s="49">
        <v>19500</v>
      </c>
      <c r="D48" s="58"/>
      <c r="E48" s="58">
        <v>20687.55</v>
      </c>
      <c r="F48" s="58"/>
      <c r="G48" s="58"/>
      <c r="H48" s="58"/>
      <c r="I48" s="58"/>
      <c r="J48" s="58"/>
      <c r="K48" s="58"/>
      <c r="L48" s="58"/>
      <c r="M48" s="58"/>
      <c r="N48" s="58"/>
      <c r="AD48"/>
      <c r="AE48"/>
      <c r="AF48"/>
    </row>
    <row r="49" spans="1:14" x14ac:dyDescent="0.25">
      <c r="A49" s="138">
        <v>36</v>
      </c>
      <c r="B49" s="45" t="s">
        <v>217</v>
      </c>
      <c r="C49" s="49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</row>
    <row r="50" spans="1:14" x14ac:dyDescent="0.25">
      <c r="A50" s="138">
        <v>37</v>
      </c>
      <c r="B50" s="45" t="s">
        <v>218</v>
      </c>
      <c r="C50" s="49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</row>
    <row r="51" spans="1:14" x14ac:dyDescent="0.25">
      <c r="A51" s="138">
        <v>38</v>
      </c>
      <c r="B51" s="4" t="s">
        <v>234</v>
      </c>
      <c r="C51" s="49">
        <v>3748</v>
      </c>
      <c r="D51" s="58"/>
      <c r="E51" s="58">
        <v>3976.2532000000001</v>
      </c>
      <c r="F51" s="58"/>
      <c r="G51" s="58"/>
      <c r="H51" s="58">
        <v>4344.9592304764001</v>
      </c>
      <c r="I51" s="58"/>
      <c r="J51" s="58"/>
      <c r="K51" s="58">
        <v>4747.8542650407853</v>
      </c>
      <c r="L51" s="58"/>
      <c r="M51" s="58"/>
      <c r="N51" s="58"/>
    </row>
    <row r="52" spans="1:14" x14ac:dyDescent="0.25">
      <c r="A52" s="138">
        <v>39</v>
      </c>
      <c r="B52" s="45" t="s">
        <v>219</v>
      </c>
      <c r="C52" s="49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</row>
    <row r="53" spans="1:14" x14ac:dyDescent="0.25">
      <c r="A53" s="138">
        <v>40</v>
      </c>
      <c r="B53" s="4" t="s">
        <v>220</v>
      </c>
      <c r="C53" s="49">
        <v>4430</v>
      </c>
      <c r="D53" s="58"/>
      <c r="E53" s="58">
        <v>4699.7870000000003</v>
      </c>
      <c r="F53" s="58"/>
      <c r="G53" s="58"/>
      <c r="H53" s="58">
        <v>5135.584149149001</v>
      </c>
      <c r="I53" s="58"/>
      <c r="J53" s="58"/>
      <c r="K53" s="58">
        <v>5611.7914605471406</v>
      </c>
      <c r="L53" s="58"/>
      <c r="M53" s="58"/>
      <c r="N53" s="58"/>
    </row>
    <row r="54" spans="1:14" x14ac:dyDescent="0.25">
      <c r="A54" s="138">
        <v>41</v>
      </c>
      <c r="B54" s="4" t="s">
        <v>191</v>
      </c>
      <c r="C54" s="49">
        <v>5000</v>
      </c>
      <c r="D54" s="58"/>
      <c r="E54" s="58"/>
      <c r="F54" s="58"/>
      <c r="G54" s="58"/>
      <c r="H54" s="58">
        <v>5796.3703715000001</v>
      </c>
      <c r="I54" s="58"/>
      <c r="J54" s="58"/>
      <c r="K54" s="58"/>
      <c r="L54" s="58"/>
      <c r="M54" s="58"/>
      <c r="N54" s="58"/>
    </row>
    <row r="55" spans="1:14" x14ac:dyDescent="0.25">
      <c r="A55" s="4"/>
      <c r="B55" s="45" t="s">
        <v>174</v>
      </c>
      <c r="C55" s="49"/>
      <c r="D55" s="136">
        <v>4078.8</v>
      </c>
      <c r="E55" s="136">
        <v>38383.360000000001</v>
      </c>
      <c r="F55" s="136">
        <v>47109.65</v>
      </c>
      <c r="G55" s="136">
        <v>17444.259999999998</v>
      </c>
      <c r="H55" s="136">
        <v>27161.79</v>
      </c>
      <c r="I55" s="136">
        <v>29791.599999999999</v>
      </c>
      <c r="J55" s="136">
        <v>10955.72</v>
      </c>
      <c r="K55" s="136">
        <v>27151.95</v>
      </c>
      <c r="L55" s="136">
        <v>17701.86</v>
      </c>
      <c r="M55" s="136">
        <v>90034.33</v>
      </c>
      <c r="N55" s="58"/>
    </row>
    <row r="56" spans="1:14" ht="15.75" thickBot="1" x14ac:dyDescent="0.3">
      <c r="A56" s="4"/>
      <c r="B56" s="45" t="s">
        <v>94</v>
      </c>
      <c r="C56" s="49">
        <v>152643</v>
      </c>
      <c r="D56" s="129">
        <v>4078.8</v>
      </c>
      <c r="E56" s="129">
        <v>38383.361999999994</v>
      </c>
      <c r="F56" s="129">
        <v>47109.646424000013</v>
      </c>
      <c r="G56" s="129">
        <v>17444.261046190004</v>
      </c>
      <c r="H56" s="129">
        <v>27161.791560849</v>
      </c>
      <c r="I56" s="129">
        <v>29791.604798398555</v>
      </c>
      <c r="J56" s="129">
        <v>10955.716393204744</v>
      </c>
      <c r="K56" s="129">
        <v>27151.949924462166</v>
      </c>
      <c r="L56" s="129">
        <v>17701.857785011362</v>
      </c>
      <c r="M56" s="129">
        <v>90034.333917780139</v>
      </c>
      <c r="N56" s="58"/>
    </row>
    <row r="57" spans="1:14" ht="15.75" thickTop="1" x14ac:dyDescent="0.25">
      <c r="C57" s="49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</row>
    <row r="58" spans="1:14" x14ac:dyDescent="0.25">
      <c r="B58" t="s">
        <v>125</v>
      </c>
      <c r="C58" s="127">
        <v>305286</v>
      </c>
      <c r="D58" s="136">
        <v>4078.8</v>
      </c>
      <c r="E58" s="136">
        <v>38383.361999999994</v>
      </c>
      <c r="F58" s="136">
        <v>47109.646424000013</v>
      </c>
      <c r="G58" s="136">
        <v>17444.261046190004</v>
      </c>
      <c r="H58" s="136">
        <v>27161.791560849</v>
      </c>
      <c r="I58" s="136">
        <v>29791.604798398555</v>
      </c>
      <c r="J58" s="136">
        <v>10955.716393204744</v>
      </c>
      <c r="K58" s="136">
        <v>27151.949924462166</v>
      </c>
      <c r="L58" s="136">
        <v>17701.857785011362</v>
      </c>
      <c r="M58" s="136">
        <v>90034.333917780139</v>
      </c>
      <c r="N58" s="58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RowHeight="15" x14ac:dyDescent="0.25"/>
  <cols>
    <col min="1" max="1" width="27.28515625" style="109" customWidth="1"/>
  </cols>
  <sheetData>
    <row r="1" spans="1:2" ht="41.25" customHeight="1" x14ac:dyDescent="0.25">
      <c r="A1" s="108" t="s">
        <v>126</v>
      </c>
    </row>
    <row r="2" spans="1:2" x14ac:dyDescent="0.25">
      <c r="A2" s="123" t="s">
        <v>127</v>
      </c>
      <c r="B2" t="s">
        <v>147</v>
      </c>
    </row>
    <row r="3" spans="1:2" x14ac:dyDescent="0.25">
      <c r="A3" s="123" t="s">
        <v>128</v>
      </c>
      <c r="B3" t="s">
        <v>148</v>
      </c>
    </row>
    <row r="4" spans="1:2" x14ac:dyDescent="0.25">
      <c r="A4" s="124"/>
      <c r="B4" t="s">
        <v>149</v>
      </c>
    </row>
    <row r="5" spans="1:2" x14ac:dyDescent="0.25">
      <c r="A5" s="124"/>
      <c r="B5" t="s">
        <v>150</v>
      </c>
    </row>
    <row r="6" spans="1:2" x14ac:dyDescent="0.25">
      <c r="A6" s="124"/>
      <c r="B6" t="s">
        <v>151</v>
      </c>
    </row>
    <row r="7" spans="1:2" x14ac:dyDescent="0.25">
      <c r="A7" s="124"/>
      <c r="B7" t="s">
        <v>152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59" t="s">
        <v>124</v>
      </c>
      <c r="C2" s="59">
        <f>'Future Value Calculator'!D14</f>
        <v>1</v>
      </c>
      <c r="D2" s="59">
        <f>'Future Value Calculator'!E14</f>
        <v>2</v>
      </c>
      <c r="E2" s="59">
        <f>'Future Value Calculator'!F14</f>
        <v>3</v>
      </c>
      <c r="F2" s="59">
        <f>'Future Value Calculator'!G14</f>
        <v>4</v>
      </c>
      <c r="G2" s="59">
        <f>'Future Value Calculator'!H14</f>
        <v>5</v>
      </c>
      <c r="H2" s="59">
        <f>'Future Value Calculator'!I14</f>
        <v>6</v>
      </c>
      <c r="I2" s="59">
        <f>'Future Value Calculator'!J14</f>
        <v>7</v>
      </c>
      <c r="J2" s="59">
        <f>'Future Value Calculator'!K14</f>
        <v>8</v>
      </c>
      <c r="K2" s="59">
        <f>'Future Value Calculator'!L14</f>
        <v>9</v>
      </c>
      <c r="L2" s="59">
        <f>'Future Value Calculator'!M14</f>
        <v>10</v>
      </c>
      <c r="M2" s="59">
        <f>'Future Value Calculator'!N14</f>
        <v>0</v>
      </c>
      <c r="N2" s="59">
        <f>'Future Value Calculator'!O14</f>
        <v>0</v>
      </c>
      <c r="O2" s="59">
        <f>'Future Value Calculator'!P14</f>
        <v>0</v>
      </c>
      <c r="P2" s="59">
        <f>'Future Value Calculator'!Q14</f>
        <v>0</v>
      </c>
      <c r="Q2" s="59">
        <f>'Future Value Calculator'!R14</f>
        <v>0</v>
      </c>
      <c r="R2" s="59">
        <f>'Future Value Calculator'!S14</f>
        <v>0</v>
      </c>
      <c r="S2" s="59">
        <f>'Future Value Calculator'!T14</f>
        <v>0</v>
      </c>
      <c r="T2" s="59">
        <f>'Future Value Calculator'!U14</f>
        <v>0</v>
      </c>
      <c r="U2" s="59">
        <f>'Future Value Calculator'!V14</f>
        <v>0</v>
      </c>
      <c r="V2" s="59">
        <f>'Future Value Calculator'!W14</f>
        <v>0</v>
      </c>
      <c r="W2" s="59">
        <f>'Future Value Calculator'!X14</f>
        <v>0</v>
      </c>
      <c r="X2" s="59">
        <f>'Future Value Calculator'!Y14</f>
        <v>0</v>
      </c>
      <c r="Y2" s="59">
        <f>'Future Value Calculator'!Z14</f>
        <v>0</v>
      </c>
      <c r="Z2" s="59">
        <f>'Future Value Calculator'!AA14</f>
        <v>0</v>
      </c>
      <c r="AA2" s="59">
        <f>'Future Value Calculator'!AB14</f>
        <v>0</v>
      </c>
      <c r="AB2" s="59">
        <f>'Future Value Calculator'!AC14</f>
        <v>0</v>
      </c>
      <c r="AC2" s="59">
        <f>'Future Value Calculator'!AD14</f>
        <v>0</v>
      </c>
      <c r="AD2" s="59">
        <f>'Future Value Calculator'!AE14</f>
        <v>0</v>
      </c>
      <c r="AE2" s="59">
        <f>'Future Value Calculator'!AF14</f>
        <v>0</v>
      </c>
    </row>
    <row r="3" spans="1:31" x14ac:dyDescent="0.25">
      <c r="A3" s="125" t="s">
        <v>127</v>
      </c>
      <c r="B3" s="116" t="e">
        <f>#REF!</f>
        <v>#REF!</v>
      </c>
      <c r="C3" s="116" t="e">
        <f>#REF!</f>
        <v>#REF!</v>
      </c>
      <c r="D3" s="116" t="e">
        <f>#REF!</f>
        <v>#REF!</v>
      </c>
      <c r="E3" s="116" t="e">
        <f>#REF!</f>
        <v>#REF!</v>
      </c>
      <c r="F3" s="116" t="e">
        <f>#REF!</f>
        <v>#REF!</v>
      </c>
      <c r="G3" s="116" t="e">
        <f>#REF!</f>
        <v>#REF!</v>
      </c>
      <c r="H3" s="116" t="e">
        <f>#REF!</f>
        <v>#REF!</v>
      </c>
      <c r="I3" s="116" t="e">
        <f>#REF!</f>
        <v>#REF!</v>
      </c>
      <c r="J3" s="116" t="e">
        <f>#REF!</f>
        <v>#REF!</v>
      </c>
      <c r="K3" s="116" t="e">
        <f>#REF!</f>
        <v>#REF!</v>
      </c>
      <c r="L3" s="116" t="e">
        <f>#REF!</f>
        <v>#REF!</v>
      </c>
      <c r="M3" s="116" t="e">
        <f>#REF!</f>
        <v>#REF!</v>
      </c>
      <c r="N3" s="116" t="e">
        <f>#REF!</f>
        <v>#REF!</v>
      </c>
      <c r="O3" s="116" t="e">
        <f>#REF!</f>
        <v>#REF!</v>
      </c>
      <c r="P3" s="116" t="e">
        <f>#REF!</f>
        <v>#REF!</v>
      </c>
      <c r="Q3" s="116" t="e">
        <f>#REF!</f>
        <v>#REF!</v>
      </c>
      <c r="R3" s="116" t="e">
        <f>#REF!</f>
        <v>#REF!</v>
      </c>
      <c r="S3" s="116" t="e">
        <f>#REF!</f>
        <v>#REF!</v>
      </c>
      <c r="T3" s="116" t="e">
        <f>#REF!</f>
        <v>#REF!</v>
      </c>
      <c r="U3" s="116" t="e">
        <f>#REF!</f>
        <v>#REF!</v>
      </c>
      <c r="V3" s="116" t="e">
        <f>#REF!</f>
        <v>#REF!</v>
      </c>
      <c r="W3" s="116" t="e">
        <f>#REF!</f>
        <v>#REF!</v>
      </c>
      <c r="X3" s="116" t="e">
        <f>#REF!</f>
        <v>#REF!</v>
      </c>
      <c r="Y3" s="116" t="e">
        <f>#REF!</f>
        <v>#REF!</v>
      </c>
      <c r="Z3" s="116" t="e">
        <f>#REF!</f>
        <v>#REF!</v>
      </c>
      <c r="AA3" s="116" t="e">
        <f>#REF!</f>
        <v>#REF!</v>
      </c>
      <c r="AB3" s="116" t="e">
        <f>#REF!</f>
        <v>#REF!</v>
      </c>
      <c r="AC3" s="116" t="e">
        <f>#REF!</f>
        <v>#REF!</v>
      </c>
      <c r="AD3" s="116" t="e">
        <f>#REF!</f>
        <v>#REF!</v>
      </c>
      <c r="AE3" s="116" t="e">
        <f>#REF!</f>
        <v>#REF!</v>
      </c>
    </row>
    <row r="4" spans="1:31" x14ac:dyDescent="0.25">
      <c r="A4" s="125" t="s">
        <v>128</v>
      </c>
      <c r="B4" s="116" t="e">
        <f>#REF!</f>
        <v>#REF!</v>
      </c>
      <c r="C4" s="116" t="e">
        <f>#REF!</f>
        <v>#REF!</v>
      </c>
      <c r="D4" s="116" t="e">
        <f>#REF!</f>
        <v>#REF!</v>
      </c>
      <c r="E4" s="116" t="e">
        <f>#REF!</f>
        <v>#REF!</v>
      </c>
      <c r="F4" s="116" t="e">
        <f>#REF!</f>
        <v>#REF!</v>
      </c>
      <c r="G4" s="116" t="e">
        <f>#REF!</f>
        <v>#REF!</v>
      </c>
      <c r="H4" s="116" t="e">
        <f>#REF!</f>
        <v>#REF!</v>
      </c>
      <c r="I4" s="116" t="e">
        <f>#REF!</f>
        <v>#REF!</v>
      </c>
      <c r="J4" s="116" t="e">
        <f>#REF!</f>
        <v>#REF!</v>
      </c>
      <c r="K4" s="116" t="e">
        <f>#REF!</f>
        <v>#REF!</v>
      </c>
      <c r="L4" s="116" t="e">
        <f>#REF!</f>
        <v>#REF!</v>
      </c>
      <c r="M4" s="116" t="e">
        <f>#REF!</f>
        <v>#REF!</v>
      </c>
      <c r="N4" s="116" t="e">
        <f>#REF!</f>
        <v>#REF!</v>
      </c>
      <c r="O4" s="116" t="e">
        <f>#REF!</f>
        <v>#REF!</v>
      </c>
      <c r="P4" s="116" t="e">
        <f>#REF!</f>
        <v>#REF!</v>
      </c>
      <c r="Q4" s="116" t="e">
        <f>#REF!</f>
        <v>#REF!</v>
      </c>
      <c r="R4" s="116" t="e">
        <f>#REF!</f>
        <v>#REF!</v>
      </c>
      <c r="S4" s="116" t="e">
        <f>#REF!</f>
        <v>#REF!</v>
      </c>
      <c r="T4" s="116" t="e">
        <f>#REF!</f>
        <v>#REF!</v>
      </c>
      <c r="U4" s="116" t="e">
        <f>#REF!</f>
        <v>#REF!</v>
      </c>
      <c r="V4" s="116" t="e">
        <f>#REF!</f>
        <v>#REF!</v>
      </c>
      <c r="W4" s="116" t="e">
        <f>#REF!</f>
        <v>#REF!</v>
      </c>
      <c r="X4" s="116" t="e">
        <f>#REF!</f>
        <v>#REF!</v>
      </c>
      <c r="Y4" s="116" t="e">
        <f>#REF!</f>
        <v>#REF!</v>
      </c>
      <c r="Z4" s="116" t="e">
        <f>#REF!</f>
        <v>#REF!</v>
      </c>
      <c r="AA4" s="116" t="e">
        <f>#REF!</f>
        <v>#REF!</v>
      </c>
      <c r="AB4" s="116" t="e">
        <f>#REF!</f>
        <v>#REF!</v>
      </c>
      <c r="AC4" s="116" t="e">
        <f>#REF!</f>
        <v>#REF!</v>
      </c>
      <c r="AD4" s="116" t="e">
        <f>#REF!</f>
        <v>#REF!</v>
      </c>
      <c r="AE4" s="116" t="e">
        <f>#REF!</f>
        <v>#REF!</v>
      </c>
    </row>
    <row r="5" spans="1:31" x14ac:dyDescent="0.25">
      <c r="A5" s="60" t="s">
        <v>129</v>
      </c>
      <c r="B5" s="116" t="e">
        <f t="shared" ref="B5:AE5" si="0">SUM(B3:B4)</f>
        <v>#REF!</v>
      </c>
      <c r="C5" s="116" t="e">
        <f t="shared" si="0"/>
        <v>#REF!</v>
      </c>
      <c r="D5" s="116" t="e">
        <f t="shared" si="0"/>
        <v>#REF!</v>
      </c>
      <c r="E5" s="116" t="e">
        <f t="shared" si="0"/>
        <v>#REF!</v>
      </c>
      <c r="F5" s="116" t="e">
        <f t="shared" si="0"/>
        <v>#REF!</v>
      </c>
      <c r="G5" s="116" t="e">
        <f t="shared" si="0"/>
        <v>#REF!</v>
      </c>
      <c r="H5" s="116" t="e">
        <f t="shared" si="0"/>
        <v>#REF!</v>
      </c>
      <c r="I5" s="116" t="e">
        <f t="shared" si="0"/>
        <v>#REF!</v>
      </c>
      <c r="J5" s="116" t="e">
        <f t="shared" si="0"/>
        <v>#REF!</v>
      </c>
      <c r="K5" s="116" t="e">
        <f t="shared" si="0"/>
        <v>#REF!</v>
      </c>
      <c r="L5" s="116" t="e">
        <f t="shared" si="0"/>
        <v>#REF!</v>
      </c>
      <c r="M5" s="116" t="e">
        <f t="shared" si="0"/>
        <v>#REF!</v>
      </c>
      <c r="N5" s="116" t="e">
        <f t="shared" si="0"/>
        <v>#REF!</v>
      </c>
      <c r="O5" s="116" t="e">
        <f t="shared" si="0"/>
        <v>#REF!</v>
      </c>
      <c r="P5" s="116" t="e">
        <f t="shared" si="0"/>
        <v>#REF!</v>
      </c>
      <c r="Q5" s="116" t="e">
        <f t="shared" si="0"/>
        <v>#REF!</v>
      </c>
      <c r="R5" s="116" t="e">
        <f t="shared" si="0"/>
        <v>#REF!</v>
      </c>
      <c r="S5" s="116" t="e">
        <f t="shared" si="0"/>
        <v>#REF!</v>
      </c>
      <c r="T5" s="116" t="e">
        <f t="shared" si="0"/>
        <v>#REF!</v>
      </c>
      <c r="U5" s="116" t="e">
        <f t="shared" si="0"/>
        <v>#REF!</v>
      </c>
      <c r="V5" s="116" t="e">
        <f t="shared" si="0"/>
        <v>#REF!</v>
      </c>
      <c r="W5" s="116" t="e">
        <f t="shared" si="0"/>
        <v>#REF!</v>
      </c>
      <c r="X5" s="116" t="e">
        <f t="shared" si="0"/>
        <v>#REF!</v>
      </c>
      <c r="Y5" s="116" t="e">
        <f t="shared" si="0"/>
        <v>#REF!</v>
      </c>
      <c r="Z5" s="116" t="e">
        <f t="shared" si="0"/>
        <v>#REF!</v>
      </c>
      <c r="AA5" s="116" t="e">
        <f t="shared" si="0"/>
        <v>#REF!</v>
      </c>
      <c r="AB5" s="116" t="e">
        <f t="shared" si="0"/>
        <v>#REF!</v>
      </c>
      <c r="AC5" s="116" t="e">
        <f t="shared" si="0"/>
        <v>#REF!</v>
      </c>
      <c r="AD5" s="116" t="e">
        <f t="shared" si="0"/>
        <v>#REF!</v>
      </c>
      <c r="AE5" s="116" t="e">
        <f t="shared" si="0"/>
        <v>#REF!</v>
      </c>
    </row>
    <row r="6" spans="1:31" x14ac:dyDescent="0.25">
      <c r="A6" s="60"/>
    </row>
    <row r="12" spans="1:31" x14ac:dyDescent="0.25">
      <c r="B12" s="143" t="s">
        <v>133</v>
      </c>
      <c r="C12" s="143"/>
      <c r="D12" s="6"/>
      <c r="E12" s="6"/>
      <c r="F12" s="6"/>
      <c r="G12" s="6"/>
      <c r="J12" s="62"/>
      <c r="K12" s="62"/>
      <c r="L12" s="144" t="s">
        <v>132</v>
      </c>
      <c r="M12" s="145"/>
    </row>
    <row r="13" spans="1:31" x14ac:dyDescent="0.25">
      <c r="A13" t="s">
        <v>130</v>
      </c>
      <c r="B13" t="s">
        <v>127</v>
      </c>
      <c r="C13" t="s">
        <v>128</v>
      </c>
      <c r="J13" s="62"/>
      <c r="K13" s="62" t="s">
        <v>125</v>
      </c>
      <c r="L13" s="62" t="s">
        <v>127</v>
      </c>
      <c r="M13" s="62" t="s">
        <v>128</v>
      </c>
    </row>
    <row r="14" spans="1:31" x14ac:dyDescent="0.25">
      <c r="A14" t="s">
        <v>82</v>
      </c>
      <c r="B14" s="61">
        <v>0.25</v>
      </c>
      <c r="C14" s="61">
        <v>0.75</v>
      </c>
      <c r="D14" s="61"/>
      <c r="E14" s="61"/>
      <c r="F14" s="61"/>
      <c r="G14" s="61"/>
      <c r="J14" s="62" t="s">
        <v>55</v>
      </c>
      <c r="K14" s="114">
        <f>'Optimize Contribution'!$D8</f>
        <v>30000</v>
      </c>
      <c r="L14" s="115">
        <f t="shared" ref="L14:L23" si="1">$B$24*K14</f>
        <v>13750</v>
      </c>
      <c r="M14" s="115">
        <f t="shared" ref="M14:M23" si="2">$C$24*K14</f>
        <v>16249.999999999998</v>
      </c>
    </row>
    <row r="15" spans="1:31" x14ac:dyDescent="0.25">
      <c r="A15" t="s">
        <v>95</v>
      </c>
      <c r="B15" s="61">
        <v>0.5</v>
      </c>
      <c r="C15" s="61">
        <v>0.5</v>
      </c>
      <c r="D15" s="61"/>
      <c r="E15" s="61"/>
      <c r="F15" s="61"/>
      <c r="G15" s="61"/>
      <c r="J15" s="62" t="s">
        <v>56</v>
      </c>
      <c r="K15" s="114">
        <f>'Optimize Contribution'!$D9</f>
        <v>30250</v>
      </c>
      <c r="L15" s="115">
        <f t="shared" si="1"/>
        <v>13864.583333333332</v>
      </c>
      <c r="M15" s="115">
        <f t="shared" si="2"/>
        <v>16385.416666666664</v>
      </c>
    </row>
    <row r="16" spans="1:31" x14ac:dyDescent="0.25">
      <c r="A16" t="s">
        <v>98</v>
      </c>
      <c r="B16" s="61">
        <v>0.5</v>
      </c>
      <c r="C16" s="61">
        <v>0.5</v>
      </c>
      <c r="D16" s="61"/>
      <c r="E16" s="61"/>
      <c r="F16" s="61"/>
      <c r="G16" s="61"/>
      <c r="J16" s="62" t="s">
        <v>57</v>
      </c>
      <c r="K16" s="114">
        <f>'Optimize Contribution'!$D10</f>
        <v>30850</v>
      </c>
      <c r="L16" s="115">
        <f t="shared" si="1"/>
        <v>14139.583333333332</v>
      </c>
      <c r="M16" s="115">
        <f t="shared" si="2"/>
        <v>16710.416666666664</v>
      </c>
    </row>
    <row r="17" spans="1:13" x14ac:dyDescent="0.25">
      <c r="A17" t="s">
        <v>103</v>
      </c>
      <c r="B17" s="61">
        <v>0.5</v>
      </c>
      <c r="C17" s="61">
        <v>0.5</v>
      </c>
      <c r="D17" s="61"/>
      <c r="E17" s="61"/>
      <c r="F17" s="61"/>
      <c r="G17" s="61"/>
      <c r="J17" s="62" t="s">
        <v>58</v>
      </c>
      <c r="K17" s="114">
        <f>'Optimize Contribution'!$D11</f>
        <v>31000</v>
      </c>
      <c r="L17" s="115">
        <f t="shared" si="1"/>
        <v>14208.333333333332</v>
      </c>
      <c r="M17" s="115">
        <f t="shared" si="2"/>
        <v>16791.666666666664</v>
      </c>
    </row>
    <row r="18" spans="1:13" x14ac:dyDescent="0.25">
      <c r="A18" t="s">
        <v>109</v>
      </c>
      <c r="B18" s="61">
        <v>0.5</v>
      </c>
      <c r="C18" s="61">
        <v>0.5</v>
      </c>
      <c r="D18" s="61"/>
      <c r="E18" s="61"/>
      <c r="F18" s="61"/>
      <c r="G18" s="61"/>
      <c r="J18" s="62" t="s">
        <v>59</v>
      </c>
      <c r="K18" s="114">
        <f>'Optimize Contribution'!$D12</f>
        <v>32000</v>
      </c>
      <c r="L18" s="115">
        <f t="shared" si="1"/>
        <v>14666.666666666666</v>
      </c>
      <c r="M18" s="115">
        <f t="shared" si="2"/>
        <v>17333.333333333332</v>
      </c>
    </row>
    <row r="19" spans="1:13" x14ac:dyDescent="0.25">
      <c r="A19" t="s">
        <v>146</v>
      </c>
      <c r="B19" s="61">
        <v>0.5</v>
      </c>
      <c r="C19" s="61">
        <v>0.5</v>
      </c>
      <c r="D19" s="61"/>
      <c r="E19" s="61"/>
      <c r="F19" s="61"/>
      <c r="G19" s="61"/>
      <c r="J19" s="62" t="s">
        <v>60</v>
      </c>
      <c r="K19" s="114">
        <f>'Optimize Contribution'!$D13</f>
        <v>32500</v>
      </c>
      <c r="L19" s="115">
        <f t="shared" si="1"/>
        <v>14895.833333333332</v>
      </c>
      <c r="M19" s="115">
        <f t="shared" si="2"/>
        <v>17604.166666666664</v>
      </c>
    </row>
    <row r="20" spans="1:13" x14ac:dyDescent="0.25">
      <c r="B20" s="61"/>
      <c r="C20" s="61"/>
      <c r="D20" s="61"/>
      <c r="E20" s="61"/>
      <c r="F20" s="61"/>
      <c r="G20" s="61"/>
      <c r="J20" s="62" t="s">
        <v>61</v>
      </c>
      <c r="K20" s="114">
        <f>'Optimize Contribution'!$D14</f>
        <v>33500</v>
      </c>
      <c r="L20" s="115">
        <f t="shared" si="1"/>
        <v>15354.166666666666</v>
      </c>
      <c r="M20" s="115">
        <f t="shared" si="2"/>
        <v>18145.833333333332</v>
      </c>
    </row>
    <row r="21" spans="1:13" x14ac:dyDescent="0.25">
      <c r="B21" s="61"/>
      <c r="C21" s="61"/>
      <c r="D21" s="61"/>
      <c r="E21" s="61"/>
      <c r="F21" s="61"/>
      <c r="G21" s="61"/>
      <c r="J21" s="62" t="s">
        <v>62</v>
      </c>
      <c r="K21" s="114">
        <f>'Optimize Contribution'!$D15</f>
        <v>34500</v>
      </c>
      <c r="L21" s="115">
        <f t="shared" si="1"/>
        <v>15812.5</v>
      </c>
      <c r="M21" s="115">
        <f t="shared" si="2"/>
        <v>18687.5</v>
      </c>
    </row>
    <row r="22" spans="1:13" x14ac:dyDescent="0.25">
      <c r="B22" s="61"/>
      <c r="C22" s="61"/>
      <c r="D22" s="61"/>
      <c r="E22" s="61"/>
      <c r="F22" s="61"/>
      <c r="G22" s="61"/>
      <c r="J22" s="62" t="s">
        <v>63</v>
      </c>
      <c r="K22" s="114">
        <f>'Optimize Contribution'!$D16</f>
        <v>34850</v>
      </c>
      <c r="L22" s="115">
        <f t="shared" si="1"/>
        <v>15972.916666666666</v>
      </c>
      <c r="M22" s="115">
        <f t="shared" si="2"/>
        <v>18877.083333333332</v>
      </c>
    </row>
    <row r="23" spans="1:13" x14ac:dyDescent="0.25">
      <c r="B23" s="61"/>
      <c r="C23" s="61"/>
      <c r="D23" s="61"/>
      <c r="E23" s="61"/>
      <c r="F23" s="61"/>
      <c r="G23" s="61"/>
      <c r="J23" s="62" t="s">
        <v>64</v>
      </c>
      <c r="K23" s="114">
        <f>'Optimize Contribution'!$D17</f>
        <v>35000</v>
      </c>
      <c r="L23" s="115">
        <f t="shared" si="1"/>
        <v>16041.666666666666</v>
      </c>
      <c r="M23" s="115">
        <f t="shared" si="2"/>
        <v>18958.333333333332</v>
      </c>
    </row>
    <row r="24" spans="1:13" x14ac:dyDescent="0.25">
      <c r="A24" t="s">
        <v>131</v>
      </c>
      <c r="B24" s="61">
        <f t="shared" ref="B24:C24" si="3">AVERAGE(B14:B23)</f>
        <v>0.45833333333333331</v>
      </c>
      <c r="C24" s="61">
        <f t="shared" si="3"/>
        <v>0.54166666666666663</v>
      </c>
      <c r="D24" s="61"/>
      <c r="E24" s="61"/>
      <c r="F24" s="61"/>
      <c r="G24" s="61"/>
    </row>
  </sheetData>
  <mergeCells count="2">
    <mergeCell ref="B12:C12"/>
    <mergeCell ref="L12:M1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112" customWidth="1"/>
    <col min="2" max="2" width="6.5703125" style="117" bestFit="1" customWidth="1"/>
    <col min="3" max="3" width="16.140625" style="117" customWidth="1"/>
    <col min="4" max="4" width="16.7109375" style="117" customWidth="1"/>
    <col min="5" max="5" width="5" style="117" customWidth="1"/>
    <col min="6" max="6" width="6" style="117" customWidth="1"/>
    <col min="7" max="8" width="9.7109375" style="117" customWidth="1"/>
    <col min="9" max="10" width="11" style="117" customWidth="1"/>
    <col min="11" max="26" width="9.140625" style="117"/>
    <col min="27" max="16384" width="9.140625" style="112"/>
  </cols>
  <sheetData>
    <row r="1" spans="1:4" ht="15" customHeight="1" x14ac:dyDescent="0.2">
      <c r="A1" s="112" t="s">
        <v>30</v>
      </c>
      <c r="B1" s="117" t="s">
        <v>125</v>
      </c>
      <c r="C1" s="117" t="s">
        <v>127</v>
      </c>
      <c r="D1" s="117" t="s">
        <v>128</v>
      </c>
    </row>
    <row r="2" spans="1:4" ht="15" customHeight="1" x14ac:dyDescent="0.2">
      <c r="A2" s="112" t="s">
        <v>55</v>
      </c>
      <c r="B2" s="117">
        <v>16859.174074990988</v>
      </c>
      <c r="C2" s="117">
        <v>7727.1214510375357</v>
      </c>
      <c r="D2" s="117">
        <v>9132.0526239534502</v>
      </c>
    </row>
    <row r="3" spans="1:4" ht="15" customHeight="1" x14ac:dyDescent="0.2">
      <c r="A3" s="112" t="s">
        <v>56</v>
      </c>
      <c r="B3" s="117">
        <v>17280.65342686576</v>
      </c>
      <c r="C3" s="117">
        <v>7920.299487313473</v>
      </c>
      <c r="D3" s="117">
        <v>9360.3539395522857</v>
      </c>
    </row>
    <row r="4" spans="1:4" ht="15" customHeight="1" x14ac:dyDescent="0.2">
      <c r="A4" s="112" t="s">
        <v>57</v>
      </c>
      <c r="B4" s="117">
        <v>17712.669762537404</v>
      </c>
      <c r="C4" s="117">
        <v>8118.3069744963095</v>
      </c>
      <c r="D4" s="117">
        <v>9594.3627880410932</v>
      </c>
    </row>
    <row r="5" spans="1:4" ht="15" customHeight="1" x14ac:dyDescent="0.2">
      <c r="A5" s="112" t="s">
        <v>58</v>
      </c>
      <c r="B5" s="117">
        <v>18155.486506600839</v>
      </c>
      <c r="C5" s="117">
        <v>8321.2646488587179</v>
      </c>
      <c r="D5" s="117">
        <v>9834.2218577421208</v>
      </c>
    </row>
    <row r="6" spans="1:4" ht="15" customHeight="1" x14ac:dyDescent="0.2">
      <c r="A6" s="112" t="s">
        <v>59</v>
      </c>
      <c r="B6" s="117">
        <v>18609.37366926586</v>
      </c>
      <c r="C6" s="117">
        <v>8529.2962650801855</v>
      </c>
      <c r="D6" s="117">
        <v>10080.077404185673</v>
      </c>
    </row>
    <row r="7" spans="1:4" ht="15" customHeight="1" x14ac:dyDescent="0.2">
      <c r="A7" s="112" t="s">
        <v>60</v>
      </c>
      <c r="B7" s="117">
        <v>19074.608010997505</v>
      </c>
      <c r="C7" s="117">
        <v>8742.5286717071886</v>
      </c>
      <c r="D7" s="117">
        <v>10332.079339290314</v>
      </c>
    </row>
    <row r="8" spans="1:4" ht="15" customHeight="1" x14ac:dyDescent="0.2">
      <c r="A8" s="112" t="s">
        <v>61</v>
      </c>
      <c r="B8" s="117">
        <v>19551.473211272438</v>
      </c>
      <c r="C8" s="117">
        <v>8961.0918884998664</v>
      </c>
      <c r="D8" s="117">
        <v>10590.38132277257</v>
      </c>
    </row>
    <row r="9" spans="1:4" ht="15" customHeight="1" x14ac:dyDescent="0.2">
      <c r="A9" s="112" t="s">
        <v>62</v>
      </c>
      <c r="B9" s="117">
        <v>20040.260041554251</v>
      </c>
      <c r="C9" s="117">
        <v>9185.1191857123649</v>
      </c>
      <c r="D9" s="117">
        <v>10855.140855841886</v>
      </c>
    </row>
    <row r="10" spans="1:4" ht="15" customHeight="1" x14ac:dyDescent="0.2">
      <c r="A10" s="112" t="s">
        <v>63</v>
      </c>
      <c r="B10" s="117">
        <v>20541.266542593105</v>
      </c>
      <c r="C10" s="117">
        <v>9414.7471653551729</v>
      </c>
      <c r="D10" s="117">
        <v>11126.519377237932</v>
      </c>
    </row>
    <row r="11" spans="1:4" ht="15" customHeight="1" x14ac:dyDescent="0.2">
      <c r="A11" s="112" t="s">
        <v>64</v>
      </c>
      <c r="B11" s="117">
        <v>21054.798206157931</v>
      </c>
      <c r="C11" s="117">
        <v>9650.1158444890516</v>
      </c>
      <c r="D11" s="117">
        <v>11404.682361668878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112" bestFit="1" customWidth="1"/>
    <col min="2" max="2" width="16.140625" style="117" customWidth="1"/>
    <col min="3" max="3" width="16.7109375" style="117" customWidth="1"/>
    <col min="4" max="4" width="5" style="117" customWidth="1"/>
    <col min="5" max="5" width="6" style="117" customWidth="1"/>
    <col min="6" max="7" width="6.7109375" style="117" customWidth="1"/>
    <col min="8" max="26" width="9.140625" style="117"/>
    <col min="27" max="16384" width="9.140625" style="112"/>
  </cols>
  <sheetData>
    <row r="1" spans="1:3" ht="15" customHeight="1" x14ac:dyDescent="0.2">
      <c r="A1" s="112" t="s">
        <v>130</v>
      </c>
      <c r="B1" s="117" t="s">
        <v>127</v>
      </c>
      <c r="C1" s="117" t="s">
        <v>128</v>
      </c>
    </row>
    <row r="2" spans="1:3" ht="15" customHeight="1" x14ac:dyDescent="0.2">
      <c r="A2" s="112" t="s">
        <v>82</v>
      </c>
      <c r="B2" s="117">
        <v>0.25</v>
      </c>
      <c r="C2" s="117">
        <v>0.75</v>
      </c>
    </row>
    <row r="3" spans="1:3" ht="15" customHeight="1" x14ac:dyDescent="0.2">
      <c r="A3" s="112" t="s">
        <v>95</v>
      </c>
      <c r="B3" s="117">
        <v>0.5</v>
      </c>
      <c r="C3" s="117">
        <v>0.5</v>
      </c>
    </row>
    <row r="4" spans="1:3" ht="15" customHeight="1" x14ac:dyDescent="0.2">
      <c r="A4" s="112" t="s">
        <v>98</v>
      </c>
      <c r="B4" s="117">
        <v>0.5</v>
      </c>
      <c r="C4" s="117">
        <v>0.5</v>
      </c>
    </row>
    <row r="5" spans="1:3" ht="15" customHeight="1" x14ac:dyDescent="0.2">
      <c r="A5" s="112" t="s">
        <v>103</v>
      </c>
      <c r="B5" s="117">
        <v>0.5</v>
      </c>
      <c r="C5" s="117">
        <v>0.5</v>
      </c>
    </row>
    <row r="6" spans="1:3" ht="15" customHeight="1" x14ac:dyDescent="0.2">
      <c r="A6" s="112" t="s">
        <v>109</v>
      </c>
      <c r="B6" s="117">
        <v>0.5</v>
      </c>
      <c r="C6" s="117">
        <v>0.5</v>
      </c>
    </row>
    <row r="7" spans="1:3" ht="15" customHeight="1" x14ac:dyDescent="0.2">
      <c r="A7" s="112" t="s">
        <v>146</v>
      </c>
      <c r="B7" s="117">
        <v>0.5</v>
      </c>
      <c r="C7" s="117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113" bestFit="1" customWidth="1"/>
    <col min="2" max="2" width="12.42578125" style="118" customWidth="1"/>
    <col min="3" max="3" width="6.5703125" style="118" bestFit="1" customWidth="1"/>
    <col min="4" max="5" width="5.7109375" style="118" bestFit="1" customWidth="1"/>
    <col min="6" max="12" width="6.5703125" style="118" bestFit="1" customWidth="1"/>
    <col min="13" max="14" width="6.42578125" style="118" bestFit="1" customWidth="1"/>
    <col min="15" max="15" width="8" style="118" customWidth="1"/>
    <col min="16" max="26" width="9.140625" style="118"/>
    <col min="27" max="16384" width="9.140625" style="111"/>
  </cols>
  <sheetData>
    <row r="1" spans="1:12" s="120" customFormat="1" x14ac:dyDescent="0.25">
      <c r="A1" s="119" t="s">
        <v>145</v>
      </c>
      <c r="B1" s="120" t="s">
        <v>124</v>
      </c>
      <c r="C1" s="120" t="s">
        <v>135</v>
      </c>
      <c r="D1" s="120" t="s">
        <v>136</v>
      </c>
      <c r="E1" s="120" t="s">
        <v>137</v>
      </c>
      <c r="F1" s="120" t="s">
        <v>138</v>
      </c>
      <c r="G1" s="120" t="s">
        <v>139</v>
      </c>
      <c r="H1" s="120" t="s">
        <v>140</v>
      </c>
      <c r="I1" s="120" t="s">
        <v>141</v>
      </c>
      <c r="J1" s="120" t="s">
        <v>142</v>
      </c>
      <c r="K1" s="120" t="s">
        <v>143</v>
      </c>
      <c r="L1" s="120" t="s">
        <v>144</v>
      </c>
    </row>
    <row r="2" spans="1:12" x14ac:dyDescent="0.25">
      <c r="A2" s="113" t="s">
        <v>127</v>
      </c>
      <c r="B2" s="118">
        <v>104945</v>
      </c>
      <c r="C2" s="118">
        <v>8878.5499999999993</v>
      </c>
      <c r="D2" s="118">
        <v>1313.2812499999998</v>
      </c>
      <c r="E2" s="118">
        <v>2757.9168906249993</v>
      </c>
      <c r="F2" s="118">
        <v>17350.834827734368</v>
      </c>
      <c r="G2" s="118">
        <v>5444.9020245361307</v>
      </c>
      <c r="H2" s="118">
        <v>23740.083964236073</v>
      </c>
      <c r="I2" s="118">
        <v>10439.038288714239</v>
      </c>
      <c r="J2" s="118">
        <v>7696.6511035701469</v>
      </c>
      <c r="K2" s="118">
        <v>5290.18354069831</v>
      </c>
      <c r="L2" s="118">
        <v>9487.9866415833967</v>
      </c>
    </row>
    <row r="3" spans="1:12" x14ac:dyDescent="0.25">
      <c r="A3" s="113" t="s">
        <v>128</v>
      </c>
      <c r="B3" s="118">
        <v>104945</v>
      </c>
      <c r="C3" s="118">
        <v>8878.5499999999993</v>
      </c>
      <c r="D3" s="118">
        <v>1313.2812499999998</v>
      </c>
      <c r="E3" s="118">
        <v>2757.9168906249993</v>
      </c>
      <c r="F3" s="118">
        <v>17350.834827734368</v>
      </c>
      <c r="G3" s="118">
        <v>5444.9020245361307</v>
      </c>
      <c r="H3" s="118">
        <v>23740.083964236073</v>
      </c>
      <c r="I3" s="118">
        <v>10439.038288714239</v>
      </c>
      <c r="J3" s="118">
        <v>7696.6511035701469</v>
      </c>
      <c r="K3" s="118">
        <v>5290.18354069831</v>
      </c>
      <c r="L3" s="118">
        <v>9487.9866415833967</v>
      </c>
    </row>
    <row r="4" spans="1:12" x14ac:dyDescent="0.25">
      <c r="A4" s="113" t="s">
        <v>129</v>
      </c>
      <c r="B4" s="118">
        <v>209890</v>
      </c>
      <c r="C4" s="118">
        <v>17757.099999999999</v>
      </c>
      <c r="D4" s="118">
        <v>2626.5624999999995</v>
      </c>
      <c r="E4" s="118">
        <v>5515.8337812499985</v>
      </c>
      <c r="F4" s="118">
        <v>34701.669655468737</v>
      </c>
      <c r="G4" s="118">
        <v>10889.804049072261</v>
      </c>
      <c r="H4" s="118">
        <v>47480.167928472147</v>
      </c>
      <c r="I4" s="118">
        <v>20878.076577428477</v>
      </c>
      <c r="J4" s="118">
        <v>15393.302207140294</v>
      </c>
      <c r="K4" s="118">
        <v>10580.36708139662</v>
      </c>
      <c r="L4" s="118">
        <v>18975.973283166793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113" bestFit="1" customWidth="1"/>
    <col min="2" max="2" width="12" style="118" customWidth="1"/>
    <col min="3" max="3" width="6.5703125" style="118" bestFit="1" customWidth="1"/>
    <col min="4" max="5" width="5.7109375" style="118" bestFit="1" customWidth="1"/>
    <col min="6" max="12" width="6.5703125" style="118" bestFit="1" customWidth="1"/>
    <col min="13" max="14" width="7" style="118" bestFit="1" customWidth="1"/>
    <col min="15" max="19" width="5.7109375" style="118" customWidth="1"/>
    <col min="20" max="26" width="9.140625" style="118"/>
    <col min="27" max="16384" width="9.140625" style="111"/>
  </cols>
  <sheetData>
    <row r="1" spans="1:12" s="120" customFormat="1" x14ac:dyDescent="0.25">
      <c r="A1" s="119" t="s">
        <v>123</v>
      </c>
      <c r="B1" s="120" t="s">
        <v>124</v>
      </c>
      <c r="C1" s="120" t="s">
        <v>135</v>
      </c>
      <c r="D1" s="120" t="s">
        <v>136</v>
      </c>
      <c r="E1" s="120" t="s">
        <v>137</v>
      </c>
      <c r="F1" s="120" t="s">
        <v>138</v>
      </c>
      <c r="G1" s="120" t="s">
        <v>139</v>
      </c>
      <c r="H1" s="120" t="s">
        <v>140</v>
      </c>
      <c r="I1" s="120" t="s">
        <v>141</v>
      </c>
      <c r="J1" s="120" t="s">
        <v>142</v>
      </c>
      <c r="K1" s="120" t="s">
        <v>143</v>
      </c>
      <c r="L1" s="120" t="s">
        <v>144</v>
      </c>
    </row>
    <row r="2" spans="1:12" x14ac:dyDescent="0.25">
      <c r="A2" s="113" t="s">
        <v>82</v>
      </c>
    </row>
    <row r="3" spans="1:12" x14ac:dyDescent="0.25">
      <c r="A3" s="113" t="s">
        <v>83</v>
      </c>
      <c r="B3" s="118">
        <v>15575</v>
      </c>
      <c r="H3" s="118">
        <v>18062.224988665763</v>
      </c>
    </row>
    <row r="4" spans="1:12" x14ac:dyDescent="0.25">
      <c r="A4" s="113" t="s">
        <v>84</v>
      </c>
      <c r="B4" s="118">
        <v>3300</v>
      </c>
      <c r="H4" s="118">
        <v>3826.9882801025369</v>
      </c>
    </row>
    <row r="5" spans="1:12" x14ac:dyDescent="0.25">
      <c r="A5" s="113" t="s">
        <v>85</v>
      </c>
      <c r="B5" s="118">
        <v>640</v>
      </c>
      <c r="H5" s="118">
        <v>742.20378765624969</v>
      </c>
    </row>
    <row r="6" spans="1:12" x14ac:dyDescent="0.25">
      <c r="A6" s="113" t="s">
        <v>87</v>
      </c>
      <c r="B6" s="118">
        <v>1629.0000000000002</v>
      </c>
      <c r="F6" s="118">
        <v>1798.1111988281243</v>
      </c>
      <c r="J6" s="118">
        <v>1984.7783200436552</v>
      </c>
    </row>
    <row r="7" spans="1:12" x14ac:dyDescent="0.25">
      <c r="A7" s="113" t="s">
        <v>88</v>
      </c>
      <c r="B7" s="118">
        <v>2665</v>
      </c>
      <c r="H7" s="118">
        <v>3090.5829595373516</v>
      </c>
    </row>
    <row r="8" spans="1:12" x14ac:dyDescent="0.25">
      <c r="A8" s="113" t="s">
        <v>89</v>
      </c>
      <c r="B8" s="118">
        <v>1870</v>
      </c>
      <c r="E8" s="118">
        <v>2013.7854687499994</v>
      </c>
      <c r="H8" s="118">
        <v>2168.6266920581043</v>
      </c>
      <c r="K8" s="118">
        <v>2335.3737538021337</v>
      </c>
    </row>
    <row r="9" spans="1:12" x14ac:dyDescent="0.25">
      <c r="A9" s="113" t="s">
        <v>90</v>
      </c>
      <c r="B9" s="118">
        <v>1380</v>
      </c>
      <c r="H9" s="118">
        <v>1600.3769171337879</v>
      </c>
    </row>
    <row r="10" spans="1:12" x14ac:dyDescent="0.25">
      <c r="A10" s="113" t="s">
        <v>91</v>
      </c>
      <c r="B10" s="118">
        <v>1170</v>
      </c>
      <c r="H10" s="118">
        <v>1356.8412993090815</v>
      </c>
    </row>
    <row r="11" spans="1:12" x14ac:dyDescent="0.25">
      <c r="A11" s="113" t="s">
        <v>92</v>
      </c>
      <c r="B11" s="118">
        <v>4290</v>
      </c>
      <c r="C11" s="118">
        <v>4397.25</v>
      </c>
      <c r="F11" s="118">
        <v>4735.3573007812493</v>
      </c>
      <c r="I11" s="118">
        <v>5099.4618832366305</v>
      </c>
      <c r="L11" s="118">
        <v>5491.5626946023713</v>
      </c>
    </row>
    <row r="12" spans="1:12" x14ac:dyDescent="0.25">
      <c r="A12" s="113" t="s">
        <v>93</v>
      </c>
      <c r="B12" s="118">
        <v>3630</v>
      </c>
      <c r="C12" s="118">
        <v>3720.7499999999995</v>
      </c>
      <c r="F12" s="118">
        <v>4006.8407929687482</v>
      </c>
      <c r="I12" s="118">
        <v>4314.9292858156095</v>
      </c>
      <c r="L12" s="118">
        <v>4646.7068954327742</v>
      </c>
    </row>
    <row r="13" spans="1:12" x14ac:dyDescent="0.25">
      <c r="A13" s="113" t="s">
        <v>94</v>
      </c>
      <c r="B13" s="118">
        <v>36149</v>
      </c>
      <c r="C13" s="118">
        <v>8118</v>
      </c>
      <c r="D13" s="118">
        <v>0</v>
      </c>
      <c r="E13" s="118">
        <v>2013.7854687499994</v>
      </c>
      <c r="F13" s="118">
        <v>10540.309292578122</v>
      </c>
      <c r="G13" s="118">
        <v>0</v>
      </c>
      <c r="H13" s="118">
        <v>30847.844924462875</v>
      </c>
      <c r="I13" s="118">
        <v>9414.39116905224</v>
      </c>
      <c r="J13" s="118">
        <v>1984.7783200436552</v>
      </c>
      <c r="K13" s="118">
        <v>2335.3737538021337</v>
      </c>
      <c r="L13" s="118">
        <v>10138.269590035146</v>
      </c>
    </row>
    <row r="14" spans="1:12" x14ac:dyDescent="0.25">
      <c r="A14" s="113" t="s">
        <v>95</v>
      </c>
    </row>
    <row r="15" spans="1:12" x14ac:dyDescent="0.25">
      <c r="A15" s="113" t="s">
        <v>96</v>
      </c>
      <c r="B15" s="118">
        <v>8505</v>
      </c>
      <c r="F15" s="118">
        <v>9387.9286347656216</v>
      </c>
      <c r="J15" s="118">
        <v>10362.516643321846</v>
      </c>
    </row>
    <row r="16" spans="1:12" x14ac:dyDescent="0.25">
      <c r="A16" s="113" t="s">
        <v>97</v>
      </c>
      <c r="B16" s="118">
        <v>2500</v>
      </c>
      <c r="D16" s="118">
        <v>2626.5624999999995</v>
      </c>
      <c r="G16" s="118">
        <v>2828.520532226561</v>
      </c>
      <c r="J16" s="118">
        <v>3046.0072437747931</v>
      </c>
    </row>
    <row r="17" spans="1:12" x14ac:dyDescent="0.25">
      <c r="A17" s="113" t="s">
        <v>94</v>
      </c>
      <c r="B17" s="118">
        <v>25305</v>
      </c>
      <c r="C17" s="118">
        <v>0</v>
      </c>
      <c r="D17" s="118">
        <v>2626.5624999999995</v>
      </c>
      <c r="E17" s="118">
        <v>0</v>
      </c>
      <c r="F17" s="118">
        <v>9387.9286347656216</v>
      </c>
      <c r="G17" s="118">
        <v>2828.520532226561</v>
      </c>
      <c r="H17" s="118">
        <v>0</v>
      </c>
      <c r="I17" s="118">
        <v>0</v>
      </c>
      <c r="J17" s="118">
        <v>13408.523887096639</v>
      </c>
      <c r="K17" s="118">
        <v>0</v>
      </c>
      <c r="L17" s="118">
        <v>0</v>
      </c>
    </row>
    <row r="18" spans="1:12" x14ac:dyDescent="0.25">
      <c r="A18" s="113" t="s">
        <v>98</v>
      </c>
    </row>
    <row r="19" spans="1:12" x14ac:dyDescent="0.25">
      <c r="A19" s="113" t="s">
        <v>99</v>
      </c>
      <c r="B19" s="118">
        <v>1520</v>
      </c>
      <c r="H19" s="118">
        <v>1762.7339956835929</v>
      </c>
    </row>
    <row r="20" spans="1:12" x14ac:dyDescent="0.25">
      <c r="A20" s="113" t="s">
        <v>100</v>
      </c>
      <c r="B20" s="118">
        <v>3488</v>
      </c>
      <c r="H20" s="118">
        <v>4045.0106427265605</v>
      </c>
    </row>
    <row r="21" spans="1:12" x14ac:dyDescent="0.25">
      <c r="A21" s="113" t="s">
        <v>101</v>
      </c>
      <c r="B21" s="118">
        <v>1100</v>
      </c>
      <c r="H21" s="118">
        <v>1275.6627600341792</v>
      </c>
    </row>
    <row r="22" spans="1:12" x14ac:dyDescent="0.25">
      <c r="A22" s="113" t="s">
        <v>102</v>
      </c>
      <c r="B22" s="118">
        <v>400</v>
      </c>
      <c r="C22" s="118">
        <v>409.99999999999994</v>
      </c>
      <c r="F22" s="118">
        <v>441.52515624999984</v>
      </c>
      <c r="I22" s="118">
        <v>475.47430146728482</v>
      </c>
      <c r="L22" s="118">
        <v>512.03381767854262</v>
      </c>
    </row>
    <row r="23" spans="1:12" x14ac:dyDescent="0.25">
      <c r="A23" s="113" t="s">
        <v>94</v>
      </c>
      <c r="B23" s="118">
        <v>11558</v>
      </c>
      <c r="C23" s="118">
        <v>409.99999999999994</v>
      </c>
      <c r="D23" s="118">
        <v>0</v>
      </c>
      <c r="E23" s="118">
        <v>0</v>
      </c>
      <c r="F23" s="118">
        <v>441.52515624999984</v>
      </c>
      <c r="G23" s="118">
        <v>0</v>
      </c>
      <c r="H23" s="118">
        <v>7083.4073984443321</v>
      </c>
      <c r="I23" s="118">
        <v>475.47430146728482</v>
      </c>
      <c r="J23" s="118">
        <v>0</v>
      </c>
      <c r="K23" s="118">
        <v>0</v>
      </c>
      <c r="L23" s="118">
        <v>512.03381767854262</v>
      </c>
    </row>
    <row r="24" spans="1:12" x14ac:dyDescent="0.25">
      <c r="A24" s="113" t="s">
        <v>103</v>
      </c>
    </row>
    <row r="25" spans="1:12" x14ac:dyDescent="0.25">
      <c r="A25" s="113" t="s">
        <v>104</v>
      </c>
      <c r="B25" s="118">
        <v>6480</v>
      </c>
      <c r="F25" s="118">
        <v>7152.7075312499965</v>
      </c>
    </row>
    <row r="26" spans="1:12" x14ac:dyDescent="0.25">
      <c r="A26" s="113" t="s">
        <v>105</v>
      </c>
      <c r="B26" s="118">
        <v>4542</v>
      </c>
      <c r="H26" s="118">
        <v>5267.327505522946</v>
      </c>
    </row>
    <row r="27" spans="1:12" x14ac:dyDescent="0.25">
      <c r="A27" s="113" t="s">
        <v>106</v>
      </c>
      <c r="B27" s="118">
        <v>440</v>
      </c>
      <c r="H27" s="118">
        <v>510.26510401367159</v>
      </c>
    </row>
    <row r="28" spans="1:12" x14ac:dyDescent="0.25">
      <c r="A28" s="113" t="s">
        <v>107</v>
      </c>
      <c r="B28" s="118">
        <v>4625</v>
      </c>
      <c r="G28" s="118">
        <v>5232.7629846191394</v>
      </c>
    </row>
    <row r="29" spans="1:12" x14ac:dyDescent="0.25">
      <c r="A29" s="113" t="s">
        <v>108</v>
      </c>
      <c r="B29" s="118">
        <v>3252</v>
      </c>
      <c r="E29" s="118">
        <v>3502.0483124999992</v>
      </c>
      <c r="H29" s="118">
        <v>3771.3229960283188</v>
      </c>
      <c r="K29" s="118">
        <v>4061.3023782698074</v>
      </c>
    </row>
    <row r="30" spans="1:12" x14ac:dyDescent="0.25">
      <c r="A30" s="113" t="s">
        <v>94</v>
      </c>
      <c r="B30" s="118">
        <v>19339</v>
      </c>
      <c r="C30" s="118">
        <v>0</v>
      </c>
      <c r="D30" s="118">
        <v>0</v>
      </c>
      <c r="E30" s="118">
        <v>3502.0483124999992</v>
      </c>
      <c r="F30" s="118">
        <v>7152.7075312499965</v>
      </c>
      <c r="G30" s="118">
        <v>5232.7629846191394</v>
      </c>
      <c r="H30" s="118">
        <v>9548.9156055649364</v>
      </c>
      <c r="I30" s="118">
        <v>0</v>
      </c>
      <c r="J30" s="118">
        <v>0</v>
      </c>
      <c r="K30" s="118">
        <v>4061.3023782698074</v>
      </c>
      <c r="L30" s="118">
        <v>0</v>
      </c>
    </row>
    <row r="31" spans="1:12" x14ac:dyDescent="0.25">
      <c r="A31" s="113" t="s">
        <v>109</v>
      </c>
    </row>
    <row r="32" spans="1:12" x14ac:dyDescent="0.25">
      <c r="A32" s="113" t="s">
        <v>110</v>
      </c>
      <c r="B32" s="118">
        <v>1370</v>
      </c>
      <c r="I32" s="118">
        <v>1628.4994825254505</v>
      </c>
    </row>
    <row r="33" spans="1:12" x14ac:dyDescent="0.25">
      <c r="A33" s="113" t="s">
        <v>111</v>
      </c>
      <c r="B33" s="118">
        <v>425</v>
      </c>
      <c r="K33" s="118">
        <v>530.76676222775768</v>
      </c>
    </row>
    <row r="34" spans="1:12" x14ac:dyDescent="0.25">
      <c r="A34" s="113" t="s">
        <v>112</v>
      </c>
      <c r="B34" s="118">
        <v>3252</v>
      </c>
      <c r="C34" s="118">
        <v>3333.2999999999997</v>
      </c>
      <c r="F34" s="118">
        <v>3589.599520312499</v>
      </c>
      <c r="I34" s="118">
        <v>3865.6060709290264</v>
      </c>
      <c r="L34" s="118">
        <v>4162.8349377265522</v>
      </c>
    </row>
    <row r="35" spans="1:12" x14ac:dyDescent="0.25">
      <c r="A35" s="113" t="s">
        <v>113</v>
      </c>
      <c r="B35" s="118">
        <v>1250</v>
      </c>
      <c r="C35" s="118">
        <v>1281.25</v>
      </c>
      <c r="G35" s="118">
        <v>1414.2602661132805</v>
      </c>
      <c r="K35" s="118">
        <v>1561.0787124345813</v>
      </c>
    </row>
    <row r="36" spans="1:12" x14ac:dyDescent="0.25">
      <c r="A36" s="113" t="s">
        <v>94</v>
      </c>
      <c r="B36" s="118">
        <v>6297</v>
      </c>
      <c r="C36" s="118">
        <v>4614.5499999999993</v>
      </c>
      <c r="D36" s="118">
        <v>0</v>
      </c>
      <c r="E36" s="118">
        <v>0</v>
      </c>
      <c r="F36" s="118">
        <v>3589.599520312499</v>
      </c>
      <c r="G36" s="118">
        <v>1414.2602661132805</v>
      </c>
      <c r="H36" s="118">
        <v>0</v>
      </c>
      <c r="I36" s="118">
        <v>5494.1055534544766</v>
      </c>
      <c r="J36" s="118">
        <v>0</v>
      </c>
      <c r="K36" s="118">
        <v>2091.8454746623393</v>
      </c>
      <c r="L36" s="118">
        <v>4162.8349377265522</v>
      </c>
    </row>
    <row r="37" spans="1:12" x14ac:dyDescent="0.25">
      <c r="A37" s="113" t="s">
        <v>146</v>
      </c>
    </row>
    <row r="38" spans="1:12" x14ac:dyDescent="0.25">
      <c r="A38" s="113" t="s">
        <v>110</v>
      </c>
      <c r="B38" s="118">
        <v>1370</v>
      </c>
      <c r="I38" s="118">
        <v>1628.4994825254505</v>
      </c>
    </row>
    <row r="39" spans="1:12" x14ac:dyDescent="0.25">
      <c r="A39" s="113" t="s">
        <v>111</v>
      </c>
      <c r="B39" s="118">
        <v>425</v>
      </c>
      <c r="K39" s="118">
        <v>530.76676222775768</v>
      </c>
    </row>
    <row r="40" spans="1:12" x14ac:dyDescent="0.25">
      <c r="A40" s="113" t="s">
        <v>112</v>
      </c>
      <c r="B40" s="118">
        <v>3252</v>
      </c>
      <c r="C40" s="118">
        <v>3333.2999999999997</v>
      </c>
      <c r="F40" s="118">
        <v>3589.599520312499</v>
      </c>
      <c r="I40" s="118">
        <v>3865.6060709290264</v>
      </c>
      <c r="L40" s="118">
        <v>4162.8349377265522</v>
      </c>
    </row>
    <row r="41" spans="1:12" x14ac:dyDescent="0.25">
      <c r="A41" s="113" t="s">
        <v>113</v>
      </c>
      <c r="B41" s="118">
        <v>1250</v>
      </c>
      <c r="C41" s="118">
        <v>1281.25</v>
      </c>
      <c r="G41" s="118">
        <v>1414.2602661132805</v>
      </c>
      <c r="K41" s="118">
        <v>1561.0787124345813</v>
      </c>
    </row>
    <row r="42" spans="1:12" x14ac:dyDescent="0.25">
      <c r="A42" s="113" t="s">
        <v>94</v>
      </c>
      <c r="B42" s="118">
        <v>6297</v>
      </c>
      <c r="C42" s="118">
        <v>4614.5499999999993</v>
      </c>
      <c r="D42" s="118">
        <v>0</v>
      </c>
      <c r="E42" s="118">
        <v>0</v>
      </c>
      <c r="F42" s="118">
        <v>3589.599520312499</v>
      </c>
      <c r="G42" s="118">
        <v>1414.2602661132805</v>
      </c>
      <c r="H42" s="118">
        <v>0</v>
      </c>
      <c r="I42" s="118">
        <v>5494.1055534544766</v>
      </c>
      <c r="J42" s="118">
        <v>0</v>
      </c>
      <c r="K42" s="118">
        <v>2091.8454746623393</v>
      </c>
      <c r="L42" s="118">
        <v>4162.8349377265522</v>
      </c>
    </row>
    <row r="44" spans="1:12" x14ac:dyDescent="0.25">
      <c r="A44" s="113" t="s">
        <v>125</v>
      </c>
      <c r="B44" s="118">
        <v>209890</v>
      </c>
      <c r="C44" s="118">
        <v>17757.099999999999</v>
      </c>
      <c r="D44" s="118">
        <v>2626.5624999999995</v>
      </c>
      <c r="E44" s="118">
        <v>5515.8337812499985</v>
      </c>
      <c r="F44" s="118">
        <v>34701.669655468737</v>
      </c>
      <c r="G44" s="118">
        <v>10889.804049072261</v>
      </c>
      <c r="H44" s="118">
        <v>47480.167928472147</v>
      </c>
      <c r="I44" s="118">
        <v>20878.076577428477</v>
      </c>
      <c r="J44" s="118">
        <v>15393.302207140294</v>
      </c>
      <c r="K44" s="118">
        <v>10580.36708139662</v>
      </c>
      <c r="L44" s="118">
        <v>18975.973283166793</v>
      </c>
    </row>
  </sheetData>
  <pageMargins left="0.7" right="0.7" top="0.75" bottom="0.75" header="0.3" footer="0.3"/>
  <pageSetup paperSize="9" fitToHeight="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112" bestFit="1" customWidth="1"/>
    <col min="2" max="2" width="12" style="117" customWidth="1"/>
    <col min="3" max="5" width="5.7109375" style="117" bestFit="1" customWidth="1"/>
    <col min="6" max="6" width="6.5703125" style="117" bestFit="1" customWidth="1"/>
    <col min="7" max="7" width="5.7109375" style="117" bestFit="1" customWidth="1"/>
    <col min="8" max="9" width="6.5703125" style="117" bestFit="1" customWidth="1"/>
    <col min="10" max="12" width="5.7109375" style="117" bestFit="1" customWidth="1"/>
    <col min="13" max="19" width="5.7109375" style="117" customWidth="1"/>
    <col min="20" max="26" width="9.140625" style="117"/>
    <col min="27" max="16384" width="9.140625" style="112"/>
  </cols>
  <sheetData>
    <row r="1" spans="1:12" s="121" customFormat="1" ht="15" customHeight="1" x14ac:dyDescent="0.2">
      <c r="A1" s="121" t="s">
        <v>123</v>
      </c>
      <c r="B1" s="121" t="s">
        <v>124</v>
      </c>
      <c r="C1" s="121" t="s">
        <v>135</v>
      </c>
      <c r="D1" s="121" t="s">
        <v>136</v>
      </c>
      <c r="E1" s="121" t="s">
        <v>137</v>
      </c>
      <c r="F1" s="121" t="s">
        <v>138</v>
      </c>
      <c r="G1" s="121" t="s">
        <v>139</v>
      </c>
      <c r="H1" s="121" t="s">
        <v>140</v>
      </c>
      <c r="I1" s="121" t="s">
        <v>141</v>
      </c>
      <c r="J1" s="121" t="s">
        <v>142</v>
      </c>
      <c r="K1" s="121" t="s">
        <v>143</v>
      </c>
      <c r="L1" s="121" t="s">
        <v>144</v>
      </c>
    </row>
    <row r="2" spans="1:12" ht="15" customHeight="1" x14ac:dyDescent="0.2">
      <c r="A2" s="112" t="s">
        <v>82</v>
      </c>
    </row>
    <row r="3" spans="1:12" ht="15" customHeight="1" x14ac:dyDescent="0.2">
      <c r="A3" s="112" t="s">
        <v>83</v>
      </c>
      <c r="B3" s="117">
        <v>3893.75</v>
      </c>
      <c r="C3" s="117">
        <v>0</v>
      </c>
      <c r="D3" s="117">
        <v>0</v>
      </c>
      <c r="E3" s="117">
        <v>0</v>
      </c>
      <c r="F3" s="117">
        <v>0</v>
      </c>
      <c r="G3" s="117">
        <v>0</v>
      </c>
      <c r="H3" s="117">
        <v>4515.5562471664407</v>
      </c>
      <c r="I3" s="117">
        <v>0</v>
      </c>
      <c r="J3" s="117">
        <v>0</v>
      </c>
      <c r="K3" s="117">
        <v>0</v>
      </c>
      <c r="L3" s="117">
        <v>0</v>
      </c>
    </row>
    <row r="4" spans="1:12" ht="15" customHeight="1" x14ac:dyDescent="0.2">
      <c r="A4" s="112" t="s">
        <v>84</v>
      </c>
      <c r="B4" s="117">
        <v>825</v>
      </c>
      <c r="C4" s="117">
        <v>0</v>
      </c>
      <c r="D4" s="117">
        <v>0</v>
      </c>
      <c r="E4" s="117">
        <v>0</v>
      </c>
      <c r="F4" s="117">
        <v>0</v>
      </c>
      <c r="G4" s="117">
        <v>0</v>
      </c>
      <c r="H4" s="117">
        <v>956.74707002563423</v>
      </c>
      <c r="I4" s="117">
        <v>0</v>
      </c>
      <c r="J4" s="117">
        <v>0</v>
      </c>
      <c r="K4" s="117">
        <v>0</v>
      </c>
      <c r="L4" s="117">
        <v>0</v>
      </c>
    </row>
    <row r="5" spans="1:12" ht="15" customHeight="1" x14ac:dyDescent="0.2">
      <c r="A5" s="112" t="s">
        <v>85</v>
      </c>
      <c r="B5" s="117">
        <v>160</v>
      </c>
      <c r="C5" s="117">
        <v>0</v>
      </c>
      <c r="D5" s="117">
        <v>0</v>
      </c>
      <c r="E5" s="117">
        <v>0</v>
      </c>
      <c r="F5" s="117">
        <v>0</v>
      </c>
      <c r="G5" s="117">
        <v>0</v>
      </c>
      <c r="H5" s="117">
        <v>185.55094691406242</v>
      </c>
      <c r="I5" s="117">
        <v>0</v>
      </c>
      <c r="J5" s="117">
        <v>0</v>
      </c>
      <c r="K5" s="117">
        <v>0</v>
      </c>
      <c r="L5" s="117">
        <v>0</v>
      </c>
    </row>
    <row r="6" spans="1:12" ht="15" customHeight="1" x14ac:dyDescent="0.2">
      <c r="A6" s="112" t="s">
        <v>87</v>
      </c>
      <c r="B6" s="117">
        <v>407.25000000000006</v>
      </c>
      <c r="C6" s="117">
        <v>0</v>
      </c>
      <c r="D6" s="117">
        <v>0</v>
      </c>
      <c r="E6" s="117">
        <v>0</v>
      </c>
      <c r="F6" s="117">
        <v>449.52779970703108</v>
      </c>
      <c r="G6" s="117">
        <v>0</v>
      </c>
      <c r="H6" s="117">
        <v>0</v>
      </c>
      <c r="I6" s="117">
        <v>0</v>
      </c>
      <c r="J6" s="117">
        <v>496.1945800109138</v>
      </c>
      <c r="K6" s="117">
        <v>0</v>
      </c>
      <c r="L6" s="117">
        <v>0</v>
      </c>
    </row>
    <row r="7" spans="1:12" ht="15" customHeight="1" x14ac:dyDescent="0.2">
      <c r="A7" s="112" t="s">
        <v>88</v>
      </c>
      <c r="B7" s="117">
        <v>666.25</v>
      </c>
      <c r="C7" s="117">
        <v>0</v>
      </c>
      <c r="D7" s="117">
        <v>0</v>
      </c>
      <c r="E7" s="117">
        <v>0</v>
      </c>
      <c r="F7" s="117">
        <v>0</v>
      </c>
      <c r="G7" s="117">
        <v>0</v>
      </c>
      <c r="H7" s="117">
        <v>772.6457398843379</v>
      </c>
      <c r="I7" s="117">
        <v>0</v>
      </c>
      <c r="J7" s="117">
        <v>0</v>
      </c>
      <c r="K7" s="117">
        <v>0</v>
      </c>
      <c r="L7" s="117">
        <v>0</v>
      </c>
    </row>
    <row r="8" spans="1:12" ht="15" customHeight="1" x14ac:dyDescent="0.2">
      <c r="A8" s="112" t="s">
        <v>89</v>
      </c>
      <c r="B8" s="117">
        <v>467.5</v>
      </c>
      <c r="C8" s="117">
        <v>0</v>
      </c>
      <c r="D8" s="117">
        <v>0</v>
      </c>
      <c r="E8" s="117">
        <v>503.44636718749985</v>
      </c>
      <c r="F8" s="117">
        <v>0</v>
      </c>
      <c r="G8" s="117">
        <v>0</v>
      </c>
      <c r="H8" s="117">
        <v>542.15667301452606</v>
      </c>
      <c r="I8" s="117">
        <v>0</v>
      </c>
      <c r="J8" s="117">
        <v>0</v>
      </c>
      <c r="K8" s="117">
        <v>583.84343845053343</v>
      </c>
      <c r="L8" s="117">
        <v>0</v>
      </c>
    </row>
    <row r="9" spans="1:12" ht="15" customHeight="1" x14ac:dyDescent="0.2">
      <c r="A9" s="112" t="s">
        <v>90</v>
      </c>
      <c r="B9" s="117">
        <v>345</v>
      </c>
      <c r="C9" s="117">
        <v>0</v>
      </c>
      <c r="D9" s="117">
        <v>0</v>
      </c>
      <c r="E9" s="117">
        <v>0</v>
      </c>
      <c r="F9" s="117">
        <v>0</v>
      </c>
      <c r="G9" s="117">
        <v>0</v>
      </c>
      <c r="H9" s="117">
        <v>400.09422928344696</v>
      </c>
      <c r="I9" s="117">
        <v>0</v>
      </c>
      <c r="J9" s="117">
        <v>0</v>
      </c>
      <c r="K9" s="117">
        <v>0</v>
      </c>
      <c r="L9" s="117">
        <v>0</v>
      </c>
    </row>
    <row r="10" spans="1:12" ht="15" customHeight="1" x14ac:dyDescent="0.2">
      <c r="A10" s="112" t="s">
        <v>91</v>
      </c>
      <c r="B10" s="117">
        <v>292.5</v>
      </c>
      <c r="C10" s="117">
        <v>0</v>
      </c>
      <c r="D10" s="117">
        <v>0</v>
      </c>
      <c r="E10" s="117">
        <v>0</v>
      </c>
      <c r="F10" s="117">
        <v>0</v>
      </c>
      <c r="G10" s="117">
        <v>0</v>
      </c>
      <c r="H10" s="117">
        <v>339.21032482727037</v>
      </c>
      <c r="I10" s="117">
        <v>0</v>
      </c>
      <c r="J10" s="117">
        <v>0</v>
      </c>
      <c r="K10" s="117">
        <v>0</v>
      </c>
      <c r="L10" s="117">
        <v>0</v>
      </c>
    </row>
    <row r="11" spans="1:12" ht="15" customHeight="1" x14ac:dyDescent="0.2">
      <c r="A11" s="112" t="s">
        <v>92</v>
      </c>
      <c r="B11" s="117">
        <v>1072.5</v>
      </c>
      <c r="C11" s="117">
        <v>1099.3125</v>
      </c>
      <c r="D11" s="117">
        <v>0</v>
      </c>
      <c r="E11" s="117">
        <v>0</v>
      </c>
      <c r="F11" s="117">
        <v>1183.8393251953123</v>
      </c>
      <c r="G11" s="117">
        <v>0</v>
      </c>
      <c r="H11" s="117">
        <v>0</v>
      </c>
      <c r="I11" s="117">
        <v>1274.8654708091576</v>
      </c>
      <c r="J11" s="117">
        <v>0</v>
      </c>
      <c r="K11" s="117">
        <v>0</v>
      </c>
      <c r="L11" s="117">
        <v>1372.8906736505928</v>
      </c>
    </row>
    <row r="12" spans="1:12" ht="15" customHeight="1" x14ac:dyDescent="0.2">
      <c r="A12" s="112" t="s">
        <v>93</v>
      </c>
      <c r="B12" s="117">
        <v>907.5</v>
      </c>
      <c r="C12" s="117">
        <v>930.18749999999989</v>
      </c>
      <c r="D12" s="117">
        <v>0</v>
      </c>
      <c r="E12" s="117">
        <v>0</v>
      </c>
      <c r="F12" s="117">
        <v>1001.7101982421871</v>
      </c>
      <c r="G12" s="117">
        <v>0</v>
      </c>
      <c r="H12" s="117">
        <v>0</v>
      </c>
      <c r="I12" s="117">
        <v>1078.7323214539024</v>
      </c>
      <c r="J12" s="117">
        <v>0</v>
      </c>
      <c r="K12" s="117">
        <v>0</v>
      </c>
      <c r="L12" s="117">
        <v>1161.6767238581936</v>
      </c>
    </row>
    <row r="13" spans="1:12" ht="15" customHeight="1" x14ac:dyDescent="0.2">
      <c r="A13" s="112" t="s">
        <v>94</v>
      </c>
      <c r="B13" s="117">
        <v>9037.25</v>
      </c>
      <c r="C13" s="117">
        <v>2029.5</v>
      </c>
      <c r="D13" s="117">
        <v>0</v>
      </c>
      <c r="E13" s="117">
        <v>503.44636718749985</v>
      </c>
      <c r="F13" s="117">
        <v>2635.0773231445305</v>
      </c>
      <c r="G13" s="117">
        <v>0</v>
      </c>
      <c r="H13" s="117">
        <v>7711.9612311157189</v>
      </c>
      <c r="I13" s="117">
        <v>2353.59779226306</v>
      </c>
      <c r="J13" s="117">
        <v>496.1945800109138</v>
      </c>
      <c r="K13" s="117">
        <v>583.84343845053343</v>
      </c>
      <c r="L13" s="117">
        <v>2534.5673975087866</v>
      </c>
    </row>
    <row r="14" spans="1:12" ht="15" customHeight="1" x14ac:dyDescent="0.2">
      <c r="A14" s="112" t="s">
        <v>95</v>
      </c>
    </row>
    <row r="15" spans="1:12" ht="15" customHeight="1" x14ac:dyDescent="0.2">
      <c r="A15" s="112" t="s">
        <v>96</v>
      </c>
      <c r="B15" s="117">
        <v>4252.5</v>
      </c>
      <c r="C15" s="117">
        <v>0</v>
      </c>
      <c r="D15" s="117">
        <v>0</v>
      </c>
      <c r="E15" s="117">
        <v>0</v>
      </c>
      <c r="F15" s="117">
        <v>4693.9643173828108</v>
      </c>
      <c r="G15" s="117">
        <v>0</v>
      </c>
      <c r="H15" s="117">
        <v>0</v>
      </c>
      <c r="I15" s="117">
        <v>0</v>
      </c>
      <c r="J15" s="117">
        <v>5181.2583216609228</v>
      </c>
      <c r="K15" s="117">
        <v>0</v>
      </c>
      <c r="L15" s="117">
        <v>0</v>
      </c>
    </row>
    <row r="16" spans="1:12" ht="15" customHeight="1" x14ac:dyDescent="0.2">
      <c r="A16" s="112" t="s">
        <v>97</v>
      </c>
      <c r="B16" s="117">
        <v>1250</v>
      </c>
      <c r="C16" s="117">
        <v>0</v>
      </c>
      <c r="D16" s="117">
        <v>1313.2812499999998</v>
      </c>
      <c r="E16" s="117">
        <v>0</v>
      </c>
      <c r="F16" s="117">
        <v>0</v>
      </c>
      <c r="G16" s="117">
        <v>1414.2602661132805</v>
      </c>
      <c r="H16" s="117">
        <v>0</v>
      </c>
      <c r="I16" s="117">
        <v>0</v>
      </c>
      <c r="J16" s="117">
        <v>1523.0036218873965</v>
      </c>
      <c r="K16" s="117">
        <v>0</v>
      </c>
      <c r="L16" s="117">
        <v>0</v>
      </c>
    </row>
    <row r="17" spans="1:12" ht="15" customHeight="1" x14ac:dyDescent="0.2">
      <c r="A17" s="112" t="s">
        <v>94</v>
      </c>
      <c r="B17" s="117">
        <v>12652.5</v>
      </c>
      <c r="C17" s="117">
        <v>0</v>
      </c>
      <c r="D17" s="117">
        <v>1313.2812499999998</v>
      </c>
      <c r="E17" s="117">
        <v>0</v>
      </c>
      <c r="F17" s="117">
        <v>4693.9643173828108</v>
      </c>
      <c r="G17" s="117">
        <v>1414.2602661132805</v>
      </c>
      <c r="H17" s="117">
        <v>0</v>
      </c>
      <c r="I17" s="117">
        <v>0</v>
      </c>
      <c r="J17" s="117">
        <v>6704.2619435483193</v>
      </c>
      <c r="K17" s="117">
        <v>0</v>
      </c>
      <c r="L17" s="117">
        <v>0</v>
      </c>
    </row>
    <row r="18" spans="1:12" ht="15" customHeight="1" x14ac:dyDescent="0.2">
      <c r="A18" s="112" t="s">
        <v>98</v>
      </c>
    </row>
    <row r="19" spans="1:12" ht="15" customHeight="1" x14ac:dyDescent="0.2">
      <c r="A19" s="112" t="s">
        <v>99</v>
      </c>
      <c r="B19" s="117">
        <v>760</v>
      </c>
      <c r="C19" s="117">
        <v>0</v>
      </c>
      <c r="D19" s="117">
        <v>0</v>
      </c>
      <c r="E19" s="117">
        <v>0</v>
      </c>
      <c r="F19" s="117">
        <v>0</v>
      </c>
      <c r="G19" s="117">
        <v>0</v>
      </c>
      <c r="H19" s="117">
        <v>881.36699784179643</v>
      </c>
      <c r="I19" s="117">
        <v>0</v>
      </c>
      <c r="J19" s="117">
        <v>0</v>
      </c>
      <c r="K19" s="117">
        <v>0</v>
      </c>
      <c r="L19" s="117">
        <v>0</v>
      </c>
    </row>
    <row r="20" spans="1:12" ht="15" customHeight="1" x14ac:dyDescent="0.2">
      <c r="A20" s="112" t="s">
        <v>100</v>
      </c>
      <c r="B20" s="117">
        <v>1744</v>
      </c>
      <c r="C20" s="117">
        <v>0</v>
      </c>
      <c r="D20" s="117">
        <v>0</v>
      </c>
      <c r="E20" s="117">
        <v>0</v>
      </c>
      <c r="F20" s="117">
        <v>0</v>
      </c>
      <c r="G20" s="117">
        <v>0</v>
      </c>
      <c r="H20" s="117">
        <v>2022.5053213632802</v>
      </c>
      <c r="I20" s="117">
        <v>0</v>
      </c>
      <c r="J20" s="117">
        <v>0</v>
      </c>
      <c r="K20" s="117">
        <v>0</v>
      </c>
      <c r="L20" s="117">
        <v>0</v>
      </c>
    </row>
    <row r="21" spans="1:12" ht="15" customHeight="1" x14ac:dyDescent="0.2">
      <c r="A21" s="112" t="s">
        <v>101</v>
      </c>
      <c r="B21" s="117">
        <v>550</v>
      </c>
      <c r="C21" s="117">
        <v>0</v>
      </c>
      <c r="D21" s="117">
        <v>0</v>
      </c>
      <c r="E21" s="117">
        <v>0</v>
      </c>
      <c r="F21" s="117">
        <v>0</v>
      </c>
      <c r="G21" s="117">
        <v>0</v>
      </c>
      <c r="H21" s="117">
        <v>637.8313800170896</v>
      </c>
      <c r="I21" s="117">
        <v>0</v>
      </c>
      <c r="J21" s="117">
        <v>0</v>
      </c>
      <c r="K21" s="117">
        <v>0</v>
      </c>
      <c r="L21" s="117">
        <v>0</v>
      </c>
    </row>
    <row r="22" spans="1:12" ht="15" customHeight="1" x14ac:dyDescent="0.2">
      <c r="A22" s="112" t="s">
        <v>102</v>
      </c>
      <c r="B22" s="117">
        <v>200</v>
      </c>
      <c r="C22" s="117">
        <v>204.99999999999997</v>
      </c>
      <c r="D22" s="117">
        <v>0</v>
      </c>
      <c r="E22" s="117">
        <v>0</v>
      </c>
      <c r="F22" s="117">
        <v>220.76257812499992</v>
      </c>
      <c r="G22" s="117">
        <v>0</v>
      </c>
      <c r="H22" s="117">
        <v>0</v>
      </c>
      <c r="I22" s="117">
        <v>237.73715073364241</v>
      </c>
      <c r="J22" s="117">
        <v>0</v>
      </c>
      <c r="K22" s="117">
        <v>0</v>
      </c>
      <c r="L22" s="117">
        <v>256.01690883927131</v>
      </c>
    </row>
    <row r="23" spans="1:12" ht="15" customHeight="1" x14ac:dyDescent="0.2">
      <c r="A23" s="112" t="s">
        <v>94</v>
      </c>
      <c r="B23" s="117">
        <v>5779</v>
      </c>
      <c r="C23" s="117">
        <v>204.99999999999997</v>
      </c>
      <c r="D23" s="117">
        <v>0</v>
      </c>
      <c r="E23" s="117">
        <v>0</v>
      </c>
      <c r="F23" s="117">
        <v>220.76257812499992</v>
      </c>
      <c r="G23" s="117">
        <v>0</v>
      </c>
      <c r="H23" s="117">
        <v>3541.7036992221661</v>
      </c>
      <c r="I23" s="117">
        <v>237.73715073364241</v>
      </c>
      <c r="J23" s="117">
        <v>0</v>
      </c>
      <c r="K23" s="117">
        <v>0</v>
      </c>
      <c r="L23" s="117">
        <v>256.01690883927131</v>
      </c>
    </row>
    <row r="24" spans="1:12" ht="15" customHeight="1" x14ac:dyDescent="0.2">
      <c r="A24" s="112" t="s">
        <v>103</v>
      </c>
    </row>
    <row r="25" spans="1:12" ht="15" customHeight="1" x14ac:dyDescent="0.2">
      <c r="A25" s="112" t="s">
        <v>104</v>
      </c>
      <c r="B25" s="117">
        <v>3240</v>
      </c>
      <c r="C25" s="117">
        <v>0</v>
      </c>
      <c r="D25" s="117">
        <v>0</v>
      </c>
      <c r="E25" s="117">
        <v>0</v>
      </c>
      <c r="F25" s="117">
        <v>3576.3537656249982</v>
      </c>
      <c r="G25" s="117">
        <v>0</v>
      </c>
      <c r="H25" s="117">
        <v>0</v>
      </c>
      <c r="I25" s="117">
        <v>0</v>
      </c>
      <c r="J25" s="117">
        <v>0</v>
      </c>
      <c r="K25" s="117">
        <v>0</v>
      </c>
      <c r="L25" s="117">
        <v>0</v>
      </c>
    </row>
    <row r="26" spans="1:12" ht="15" customHeight="1" x14ac:dyDescent="0.2">
      <c r="A26" s="112" t="s">
        <v>105</v>
      </c>
      <c r="B26" s="117">
        <v>2271</v>
      </c>
      <c r="C26" s="117">
        <v>0</v>
      </c>
      <c r="D26" s="117">
        <v>0</v>
      </c>
      <c r="E26" s="117">
        <v>0</v>
      </c>
      <c r="F26" s="117">
        <v>0</v>
      </c>
      <c r="G26" s="117">
        <v>0</v>
      </c>
      <c r="H26" s="117">
        <v>2633.663752761473</v>
      </c>
      <c r="I26" s="117">
        <v>0</v>
      </c>
      <c r="J26" s="117">
        <v>0</v>
      </c>
      <c r="K26" s="117">
        <v>0</v>
      </c>
      <c r="L26" s="117">
        <v>0</v>
      </c>
    </row>
    <row r="27" spans="1:12" ht="15" customHeight="1" x14ac:dyDescent="0.2">
      <c r="A27" s="112" t="s">
        <v>106</v>
      </c>
      <c r="B27" s="117">
        <v>220</v>
      </c>
      <c r="C27" s="117">
        <v>0</v>
      </c>
      <c r="D27" s="117">
        <v>0</v>
      </c>
      <c r="E27" s="117">
        <v>0</v>
      </c>
      <c r="F27" s="117">
        <v>0</v>
      </c>
      <c r="G27" s="117">
        <v>0</v>
      </c>
      <c r="H27" s="117">
        <v>255.13255200683579</v>
      </c>
      <c r="I27" s="117">
        <v>0</v>
      </c>
      <c r="J27" s="117">
        <v>0</v>
      </c>
      <c r="K27" s="117">
        <v>0</v>
      </c>
      <c r="L27" s="117">
        <v>0</v>
      </c>
    </row>
    <row r="28" spans="1:12" ht="15" customHeight="1" x14ac:dyDescent="0.2">
      <c r="A28" s="112" t="s">
        <v>107</v>
      </c>
      <c r="B28" s="117">
        <v>2312.5</v>
      </c>
      <c r="C28" s="117">
        <v>0</v>
      </c>
      <c r="D28" s="117">
        <v>0</v>
      </c>
      <c r="E28" s="117">
        <v>0</v>
      </c>
      <c r="F28" s="117">
        <v>0</v>
      </c>
      <c r="G28" s="117">
        <v>2616.3814923095697</v>
      </c>
      <c r="H28" s="117">
        <v>0</v>
      </c>
      <c r="I28" s="117">
        <v>0</v>
      </c>
      <c r="J28" s="117">
        <v>0</v>
      </c>
      <c r="K28" s="117">
        <v>0</v>
      </c>
      <c r="L28" s="117">
        <v>0</v>
      </c>
    </row>
    <row r="29" spans="1:12" ht="15" customHeight="1" x14ac:dyDescent="0.2">
      <c r="A29" s="112" t="s">
        <v>108</v>
      </c>
      <c r="B29" s="117">
        <v>1626</v>
      </c>
      <c r="C29" s="117">
        <v>0</v>
      </c>
      <c r="D29" s="117">
        <v>0</v>
      </c>
      <c r="E29" s="117">
        <v>1751.0241562499996</v>
      </c>
      <c r="F29" s="117">
        <v>0</v>
      </c>
      <c r="G29" s="117">
        <v>0</v>
      </c>
      <c r="H29" s="117">
        <v>1885.6614980141594</v>
      </c>
      <c r="I29" s="117">
        <v>0</v>
      </c>
      <c r="J29" s="117">
        <v>0</v>
      </c>
      <c r="K29" s="117">
        <v>2030.6511891349037</v>
      </c>
      <c r="L29" s="117">
        <v>0</v>
      </c>
    </row>
    <row r="30" spans="1:12" ht="15" customHeight="1" x14ac:dyDescent="0.2">
      <c r="A30" s="112" t="s">
        <v>94</v>
      </c>
      <c r="B30" s="117">
        <v>9669.5</v>
      </c>
      <c r="C30" s="117">
        <v>0</v>
      </c>
      <c r="D30" s="117">
        <v>0</v>
      </c>
      <c r="E30" s="117">
        <v>1751.0241562499996</v>
      </c>
      <c r="F30" s="117">
        <v>3576.3537656249982</v>
      </c>
      <c r="G30" s="117">
        <v>2616.3814923095697</v>
      </c>
      <c r="H30" s="117">
        <v>4774.4578027824682</v>
      </c>
      <c r="I30" s="117">
        <v>0</v>
      </c>
      <c r="J30" s="117">
        <v>0</v>
      </c>
      <c r="K30" s="117">
        <v>2030.6511891349037</v>
      </c>
      <c r="L30" s="117">
        <v>0</v>
      </c>
    </row>
    <row r="31" spans="1:12" ht="15" customHeight="1" x14ac:dyDescent="0.2">
      <c r="A31" s="112" t="s">
        <v>109</v>
      </c>
    </row>
    <row r="32" spans="1:12" ht="15" customHeight="1" x14ac:dyDescent="0.2">
      <c r="A32" s="112" t="s">
        <v>110</v>
      </c>
      <c r="B32" s="117">
        <v>685</v>
      </c>
      <c r="C32" s="117">
        <v>0</v>
      </c>
      <c r="D32" s="117">
        <v>0</v>
      </c>
      <c r="E32" s="117">
        <v>0</v>
      </c>
      <c r="F32" s="117">
        <v>0</v>
      </c>
      <c r="G32" s="117">
        <v>0</v>
      </c>
      <c r="H32" s="117">
        <v>0</v>
      </c>
      <c r="I32" s="117">
        <v>814.24974126272525</v>
      </c>
      <c r="J32" s="117">
        <v>0</v>
      </c>
      <c r="K32" s="117">
        <v>0</v>
      </c>
      <c r="L32" s="117">
        <v>0</v>
      </c>
    </row>
    <row r="33" spans="1:12" ht="15" customHeight="1" x14ac:dyDescent="0.2">
      <c r="A33" s="112" t="s">
        <v>111</v>
      </c>
      <c r="B33" s="117">
        <v>212.5</v>
      </c>
      <c r="C33" s="117">
        <v>0</v>
      </c>
      <c r="D33" s="117">
        <v>0</v>
      </c>
      <c r="E33" s="117">
        <v>0</v>
      </c>
      <c r="F33" s="117">
        <v>0</v>
      </c>
      <c r="G33" s="117">
        <v>0</v>
      </c>
      <c r="H33" s="117">
        <v>0</v>
      </c>
      <c r="I33" s="117">
        <v>0</v>
      </c>
      <c r="J33" s="117">
        <v>0</v>
      </c>
      <c r="K33" s="117">
        <v>265.38338111387884</v>
      </c>
      <c r="L33" s="117">
        <v>0</v>
      </c>
    </row>
    <row r="34" spans="1:12" ht="15" customHeight="1" x14ac:dyDescent="0.2">
      <c r="A34" s="112" t="s">
        <v>112</v>
      </c>
      <c r="B34" s="117">
        <v>1626</v>
      </c>
      <c r="C34" s="117">
        <v>1666.6499999999999</v>
      </c>
      <c r="D34" s="117">
        <v>0</v>
      </c>
      <c r="E34" s="117">
        <v>0</v>
      </c>
      <c r="F34" s="117">
        <v>1794.7997601562495</v>
      </c>
      <c r="G34" s="117">
        <v>0</v>
      </c>
      <c r="H34" s="117">
        <v>0</v>
      </c>
      <c r="I34" s="117">
        <v>1932.8030354645132</v>
      </c>
      <c r="J34" s="117">
        <v>0</v>
      </c>
      <c r="K34" s="117">
        <v>0</v>
      </c>
      <c r="L34" s="117">
        <v>2081.4174688632761</v>
      </c>
    </row>
    <row r="35" spans="1:12" ht="15" customHeight="1" x14ac:dyDescent="0.2">
      <c r="A35" s="112" t="s">
        <v>113</v>
      </c>
      <c r="B35" s="117">
        <v>625</v>
      </c>
      <c r="C35" s="117">
        <v>640.625</v>
      </c>
      <c r="D35" s="117">
        <v>0</v>
      </c>
      <c r="E35" s="117">
        <v>0</v>
      </c>
      <c r="F35" s="117">
        <v>0</v>
      </c>
      <c r="G35" s="117">
        <v>707.13013305664026</v>
      </c>
      <c r="H35" s="117">
        <v>0</v>
      </c>
      <c r="I35" s="117">
        <v>0</v>
      </c>
      <c r="J35" s="117">
        <v>0</v>
      </c>
      <c r="K35" s="117">
        <v>780.53935621729067</v>
      </c>
      <c r="L35" s="117">
        <v>0</v>
      </c>
    </row>
    <row r="36" spans="1:12" ht="15" customHeight="1" x14ac:dyDescent="0.2">
      <c r="A36" s="112" t="s">
        <v>94</v>
      </c>
      <c r="B36" s="117">
        <v>3148.5</v>
      </c>
      <c r="C36" s="117">
        <v>2307.2749999999996</v>
      </c>
      <c r="D36" s="117">
        <v>0</v>
      </c>
      <c r="E36" s="117">
        <v>0</v>
      </c>
      <c r="F36" s="117">
        <v>1794.7997601562495</v>
      </c>
      <c r="G36" s="117">
        <v>707.13013305664026</v>
      </c>
      <c r="H36" s="117">
        <v>0</v>
      </c>
      <c r="I36" s="117">
        <v>2747.0527767272383</v>
      </c>
      <c r="J36" s="117">
        <v>0</v>
      </c>
      <c r="K36" s="117">
        <v>1045.9227373311696</v>
      </c>
      <c r="L36" s="117">
        <v>2081.4174688632761</v>
      </c>
    </row>
    <row r="37" spans="1:12" ht="15" customHeight="1" x14ac:dyDescent="0.2">
      <c r="A37" s="112" t="s">
        <v>146</v>
      </c>
    </row>
    <row r="38" spans="1:12" ht="15" customHeight="1" x14ac:dyDescent="0.2">
      <c r="A38" s="112" t="s">
        <v>110</v>
      </c>
      <c r="B38" s="117">
        <v>685</v>
      </c>
      <c r="C38" s="117">
        <v>0</v>
      </c>
      <c r="D38" s="117">
        <v>0</v>
      </c>
      <c r="E38" s="117">
        <v>0</v>
      </c>
      <c r="F38" s="117">
        <v>0</v>
      </c>
      <c r="G38" s="117">
        <v>0</v>
      </c>
      <c r="H38" s="117">
        <v>0</v>
      </c>
      <c r="I38" s="117">
        <v>814.24974126272525</v>
      </c>
      <c r="J38" s="117">
        <v>0</v>
      </c>
      <c r="K38" s="117">
        <v>0</v>
      </c>
      <c r="L38" s="117">
        <v>0</v>
      </c>
    </row>
    <row r="39" spans="1:12" ht="15" customHeight="1" x14ac:dyDescent="0.2">
      <c r="A39" s="112" t="s">
        <v>111</v>
      </c>
      <c r="B39" s="117">
        <v>212.5</v>
      </c>
      <c r="C39" s="117">
        <v>0</v>
      </c>
      <c r="D39" s="117">
        <v>0</v>
      </c>
      <c r="E39" s="117">
        <v>0</v>
      </c>
      <c r="F39" s="117">
        <v>0</v>
      </c>
      <c r="G39" s="117">
        <v>0</v>
      </c>
      <c r="H39" s="117">
        <v>0</v>
      </c>
      <c r="I39" s="117">
        <v>0</v>
      </c>
      <c r="J39" s="117">
        <v>0</v>
      </c>
      <c r="K39" s="117">
        <v>265.38338111387884</v>
      </c>
      <c r="L39" s="117">
        <v>0</v>
      </c>
    </row>
    <row r="40" spans="1:12" ht="15" customHeight="1" x14ac:dyDescent="0.2">
      <c r="A40" s="112" t="s">
        <v>112</v>
      </c>
      <c r="B40" s="117">
        <v>1626</v>
      </c>
      <c r="C40" s="117">
        <v>1666.6499999999999</v>
      </c>
      <c r="D40" s="117">
        <v>0</v>
      </c>
      <c r="E40" s="117">
        <v>0</v>
      </c>
      <c r="F40" s="117">
        <v>1794.7997601562495</v>
      </c>
      <c r="G40" s="117">
        <v>0</v>
      </c>
      <c r="H40" s="117">
        <v>0</v>
      </c>
      <c r="I40" s="117">
        <v>1932.8030354645132</v>
      </c>
      <c r="J40" s="117">
        <v>0</v>
      </c>
      <c r="K40" s="117">
        <v>0</v>
      </c>
      <c r="L40" s="117">
        <v>2081.4174688632761</v>
      </c>
    </row>
    <row r="41" spans="1:12" ht="15" customHeight="1" x14ac:dyDescent="0.2">
      <c r="A41" s="112" t="s">
        <v>113</v>
      </c>
      <c r="B41" s="117">
        <v>625</v>
      </c>
      <c r="C41" s="117">
        <v>640.625</v>
      </c>
      <c r="D41" s="117">
        <v>0</v>
      </c>
      <c r="E41" s="117">
        <v>0</v>
      </c>
      <c r="F41" s="117">
        <v>0</v>
      </c>
      <c r="G41" s="117">
        <v>707.13013305664026</v>
      </c>
      <c r="H41" s="117">
        <v>0</v>
      </c>
      <c r="I41" s="117">
        <v>0</v>
      </c>
      <c r="J41" s="117">
        <v>0</v>
      </c>
      <c r="K41" s="117">
        <v>780.53935621729067</v>
      </c>
      <c r="L41" s="117">
        <v>0</v>
      </c>
    </row>
    <row r="42" spans="1:12" ht="15" customHeight="1" x14ac:dyDescent="0.2">
      <c r="A42" s="112" t="s">
        <v>94</v>
      </c>
      <c r="B42" s="117">
        <v>3148.5</v>
      </c>
      <c r="C42" s="117">
        <v>2307.2749999999996</v>
      </c>
      <c r="D42" s="117">
        <v>0</v>
      </c>
      <c r="E42" s="117">
        <v>0</v>
      </c>
      <c r="F42" s="117">
        <v>1794.7997601562495</v>
      </c>
      <c r="G42" s="117">
        <v>707.13013305664026</v>
      </c>
      <c r="H42" s="117">
        <v>0</v>
      </c>
      <c r="I42" s="117">
        <v>2747.0527767272383</v>
      </c>
      <c r="J42" s="117">
        <v>0</v>
      </c>
      <c r="K42" s="117">
        <v>1045.9227373311696</v>
      </c>
      <c r="L42" s="117">
        <v>2081.4174688632761</v>
      </c>
    </row>
    <row r="44" spans="1:12" ht="15" customHeight="1" x14ac:dyDescent="0.2">
      <c r="A44" s="112" t="s">
        <v>125</v>
      </c>
      <c r="B44" s="117">
        <v>104945</v>
      </c>
      <c r="C44" s="117">
        <v>8878.5499999999993</v>
      </c>
      <c r="D44" s="117">
        <v>1313.2812499999998</v>
      </c>
      <c r="E44" s="117">
        <v>2757.9168906249993</v>
      </c>
      <c r="F44" s="117">
        <v>17350.834827734368</v>
      </c>
      <c r="G44" s="117">
        <v>5444.9020245361307</v>
      </c>
      <c r="H44" s="117">
        <v>23740.083964236073</v>
      </c>
      <c r="I44" s="117">
        <v>10439.038288714239</v>
      </c>
      <c r="J44" s="117">
        <v>7696.6511035701469</v>
      </c>
      <c r="K44" s="117">
        <v>5290.18354069831</v>
      </c>
      <c r="L44" s="117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113" bestFit="1" customWidth="1"/>
    <col min="2" max="2" width="12" style="118" customWidth="1"/>
    <col min="3" max="5" width="5.7109375" style="118" bestFit="1" customWidth="1"/>
    <col min="6" max="6" width="6.5703125" style="118" bestFit="1" customWidth="1"/>
    <col min="7" max="7" width="5.7109375" style="118" bestFit="1" customWidth="1"/>
    <col min="8" max="9" width="6.5703125" style="118" bestFit="1" customWidth="1"/>
    <col min="10" max="12" width="5.7109375" style="118" bestFit="1" customWidth="1"/>
    <col min="13" max="19" width="5.7109375" style="118" customWidth="1"/>
    <col min="20" max="26" width="9.140625" style="118"/>
    <col min="27" max="16384" width="9.140625" style="111"/>
  </cols>
  <sheetData>
    <row r="1" spans="1:12" s="120" customFormat="1" ht="15" customHeight="1" x14ac:dyDescent="0.25">
      <c r="A1" s="119" t="s">
        <v>123</v>
      </c>
      <c r="B1" s="120" t="s">
        <v>124</v>
      </c>
      <c r="C1" s="120" t="s">
        <v>135</v>
      </c>
      <c r="D1" s="120" t="s">
        <v>136</v>
      </c>
      <c r="E1" s="120" t="s">
        <v>137</v>
      </c>
      <c r="F1" s="120" t="s">
        <v>138</v>
      </c>
      <c r="G1" s="120" t="s">
        <v>139</v>
      </c>
      <c r="H1" s="120" t="s">
        <v>140</v>
      </c>
      <c r="I1" s="120" t="s">
        <v>141</v>
      </c>
      <c r="J1" s="120" t="s">
        <v>142</v>
      </c>
      <c r="K1" s="120" t="s">
        <v>143</v>
      </c>
      <c r="L1" s="120" t="s">
        <v>144</v>
      </c>
    </row>
    <row r="2" spans="1:12" ht="15" customHeight="1" x14ac:dyDescent="0.25">
      <c r="A2" s="113" t="s">
        <v>82</v>
      </c>
    </row>
    <row r="3" spans="1:12" ht="15" customHeight="1" x14ac:dyDescent="0.25">
      <c r="A3" s="113" t="s">
        <v>83</v>
      </c>
      <c r="B3" s="118">
        <v>11681.25</v>
      </c>
      <c r="C3" s="118">
        <v>0</v>
      </c>
      <c r="D3" s="118">
        <v>0</v>
      </c>
      <c r="E3" s="118">
        <v>0</v>
      </c>
      <c r="F3" s="118">
        <v>0</v>
      </c>
      <c r="G3" s="118">
        <v>0</v>
      </c>
      <c r="H3" s="118">
        <v>13546.668741499321</v>
      </c>
      <c r="I3" s="118">
        <v>0</v>
      </c>
      <c r="J3" s="118">
        <v>0</v>
      </c>
      <c r="K3" s="118">
        <v>0</v>
      </c>
      <c r="L3" s="118">
        <v>0</v>
      </c>
    </row>
    <row r="4" spans="1:12" ht="15" customHeight="1" x14ac:dyDescent="0.25">
      <c r="A4" s="113" t="s">
        <v>84</v>
      </c>
      <c r="B4" s="118">
        <v>2475</v>
      </c>
      <c r="C4" s="118">
        <v>0</v>
      </c>
      <c r="D4" s="118">
        <v>0</v>
      </c>
      <c r="E4" s="118">
        <v>0</v>
      </c>
      <c r="F4" s="118">
        <v>0</v>
      </c>
      <c r="G4" s="118">
        <v>0</v>
      </c>
      <c r="H4" s="118">
        <v>2870.2412100769025</v>
      </c>
      <c r="I4" s="118">
        <v>0</v>
      </c>
      <c r="J4" s="118">
        <v>0</v>
      </c>
      <c r="K4" s="118">
        <v>0</v>
      </c>
      <c r="L4" s="118">
        <v>0</v>
      </c>
    </row>
    <row r="5" spans="1:12" ht="15" customHeight="1" x14ac:dyDescent="0.25">
      <c r="A5" s="113" t="s">
        <v>85</v>
      </c>
      <c r="B5" s="118">
        <v>480</v>
      </c>
      <c r="C5" s="118">
        <v>0</v>
      </c>
      <c r="D5" s="118">
        <v>0</v>
      </c>
      <c r="E5" s="118">
        <v>0</v>
      </c>
      <c r="F5" s="118">
        <v>0</v>
      </c>
      <c r="G5" s="118">
        <v>0</v>
      </c>
      <c r="H5" s="118">
        <v>556.65284074218721</v>
      </c>
      <c r="I5" s="118">
        <v>0</v>
      </c>
      <c r="J5" s="118">
        <v>0</v>
      </c>
      <c r="K5" s="118">
        <v>0</v>
      </c>
      <c r="L5" s="118">
        <v>0</v>
      </c>
    </row>
    <row r="6" spans="1:12" ht="15" customHeight="1" x14ac:dyDescent="0.25">
      <c r="A6" s="113" t="s">
        <v>87</v>
      </c>
      <c r="B6" s="118">
        <v>1221.7500000000002</v>
      </c>
      <c r="C6" s="118">
        <v>0</v>
      </c>
      <c r="D6" s="118">
        <v>0</v>
      </c>
      <c r="E6" s="118">
        <v>0</v>
      </c>
      <c r="F6" s="118">
        <v>1348.5833991210932</v>
      </c>
      <c r="G6" s="118">
        <v>0</v>
      </c>
      <c r="H6" s="118">
        <v>0</v>
      </c>
      <c r="I6" s="118">
        <v>0</v>
      </c>
      <c r="J6" s="118">
        <v>1488.5837400327414</v>
      </c>
      <c r="K6" s="118">
        <v>0</v>
      </c>
      <c r="L6" s="118">
        <v>0</v>
      </c>
    </row>
    <row r="7" spans="1:12" ht="15" customHeight="1" x14ac:dyDescent="0.25">
      <c r="A7" s="113" t="s">
        <v>88</v>
      </c>
      <c r="B7" s="118">
        <v>1998.75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2317.9372196530139</v>
      </c>
      <c r="I7" s="118">
        <v>0</v>
      </c>
      <c r="J7" s="118">
        <v>0</v>
      </c>
      <c r="K7" s="118">
        <v>0</v>
      </c>
      <c r="L7" s="118">
        <v>0</v>
      </c>
    </row>
    <row r="8" spans="1:12" ht="15" customHeight="1" x14ac:dyDescent="0.25">
      <c r="A8" s="113" t="s">
        <v>89</v>
      </c>
      <c r="B8" s="118">
        <v>1402.5</v>
      </c>
      <c r="C8" s="118">
        <v>0</v>
      </c>
      <c r="D8" s="118">
        <v>0</v>
      </c>
      <c r="E8" s="118">
        <v>1510.3391015624995</v>
      </c>
      <c r="F8" s="118">
        <v>0</v>
      </c>
      <c r="G8" s="118">
        <v>0</v>
      </c>
      <c r="H8" s="118">
        <v>1626.4700190435783</v>
      </c>
      <c r="I8" s="118">
        <v>0</v>
      </c>
      <c r="J8" s="118">
        <v>0</v>
      </c>
      <c r="K8" s="118">
        <v>1751.5303153516002</v>
      </c>
      <c r="L8" s="118">
        <v>0</v>
      </c>
    </row>
    <row r="9" spans="1:12" ht="15" customHeight="1" x14ac:dyDescent="0.25">
      <c r="A9" s="113" t="s">
        <v>90</v>
      </c>
      <c r="B9" s="118">
        <v>1035</v>
      </c>
      <c r="C9" s="118">
        <v>0</v>
      </c>
      <c r="D9" s="118">
        <v>0</v>
      </c>
      <c r="E9" s="118">
        <v>0</v>
      </c>
      <c r="F9" s="118">
        <v>0</v>
      </c>
      <c r="G9" s="118">
        <v>0</v>
      </c>
      <c r="H9" s="118">
        <v>1200.2826878503408</v>
      </c>
      <c r="I9" s="118">
        <v>0</v>
      </c>
      <c r="J9" s="118">
        <v>0</v>
      </c>
      <c r="K9" s="118">
        <v>0</v>
      </c>
      <c r="L9" s="118">
        <v>0</v>
      </c>
    </row>
    <row r="10" spans="1:12" ht="15" customHeight="1" x14ac:dyDescent="0.25">
      <c r="A10" s="113" t="s">
        <v>91</v>
      </c>
      <c r="B10" s="118">
        <v>877.5</v>
      </c>
      <c r="C10" s="118">
        <v>0</v>
      </c>
      <c r="D10" s="118">
        <v>0</v>
      </c>
      <c r="E10" s="118">
        <v>0</v>
      </c>
      <c r="F10" s="118">
        <v>0</v>
      </c>
      <c r="G10" s="118">
        <v>0</v>
      </c>
      <c r="H10" s="118">
        <v>1017.6309744818111</v>
      </c>
      <c r="I10" s="118">
        <v>0</v>
      </c>
      <c r="J10" s="118">
        <v>0</v>
      </c>
      <c r="K10" s="118">
        <v>0</v>
      </c>
      <c r="L10" s="118">
        <v>0</v>
      </c>
    </row>
    <row r="11" spans="1:12" ht="15" customHeight="1" x14ac:dyDescent="0.25">
      <c r="A11" s="113" t="s">
        <v>92</v>
      </c>
      <c r="B11" s="118">
        <v>3217.5</v>
      </c>
      <c r="C11" s="118">
        <v>3297.9375</v>
      </c>
      <c r="D11" s="118">
        <v>0</v>
      </c>
      <c r="E11" s="118">
        <v>0</v>
      </c>
      <c r="F11" s="118">
        <v>3551.5179755859372</v>
      </c>
      <c r="G11" s="118">
        <v>0</v>
      </c>
      <c r="H11" s="118">
        <v>0</v>
      </c>
      <c r="I11" s="118">
        <v>3824.5964124274728</v>
      </c>
      <c r="J11" s="118">
        <v>0</v>
      </c>
      <c r="K11" s="118">
        <v>0</v>
      </c>
      <c r="L11" s="118">
        <v>4118.6720209517789</v>
      </c>
    </row>
    <row r="12" spans="1:12" ht="15" customHeight="1" x14ac:dyDescent="0.25">
      <c r="A12" s="113" t="s">
        <v>93</v>
      </c>
      <c r="B12" s="118">
        <v>2722.5</v>
      </c>
      <c r="C12" s="118">
        <v>2790.5624999999995</v>
      </c>
      <c r="D12" s="118">
        <v>0</v>
      </c>
      <c r="E12" s="118">
        <v>0</v>
      </c>
      <c r="F12" s="118">
        <v>3005.130594726561</v>
      </c>
      <c r="G12" s="118">
        <v>0</v>
      </c>
      <c r="H12" s="118">
        <v>0</v>
      </c>
      <c r="I12" s="118">
        <v>3236.1969643617072</v>
      </c>
      <c r="J12" s="118">
        <v>0</v>
      </c>
      <c r="K12" s="118">
        <v>0</v>
      </c>
      <c r="L12" s="118">
        <v>3485.0301715745809</v>
      </c>
    </row>
    <row r="13" spans="1:12" ht="15" customHeight="1" x14ac:dyDescent="0.25">
      <c r="A13" s="113" t="s">
        <v>94</v>
      </c>
      <c r="B13" s="118">
        <v>27111.75</v>
      </c>
      <c r="C13" s="118">
        <v>6088.5</v>
      </c>
      <c r="D13" s="118">
        <v>0</v>
      </c>
      <c r="E13" s="118">
        <v>1510.3391015624995</v>
      </c>
      <c r="F13" s="118">
        <v>7905.2319694335911</v>
      </c>
      <c r="G13" s="118">
        <v>0</v>
      </c>
      <c r="H13" s="118">
        <v>23135.883693347158</v>
      </c>
      <c r="I13" s="118">
        <v>7060.79337678918</v>
      </c>
      <c r="J13" s="118">
        <v>1488.5837400327414</v>
      </c>
      <c r="K13" s="118">
        <v>1751.5303153516002</v>
      </c>
      <c r="L13" s="118">
        <v>7603.7021925263598</v>
      </c>
    </row>
    <row r="14" spans="1:12" ht="15" customHeight="1" x14ac:dyDescent="0.25">
      <c r="A14" s="113" t="s">
        <v>95</v>
      </c>
    </row>
    <row r="15" spans="1:12" ht="15" customHeight="1" x14ac:dyDescent="0.25">
      <c r="A15" s="113" t="s">
        <v>96</v>
      </c>
      <c r="B15" s="118">
        <v>4252.5</v>
      </c>
      <c r="C15" s="118">
        <v>0</v>
      </c>
      <c r="D15" s="118">
        <v>0</v>
      </c>
      <c r="E15" s="118">
        <v>0</v>
      </c>
      <c r="F15" s="118">
        <v>4693.9643173828108</v>
      </c>
      <c r="G15" s="118">
        <v>0</v>
      </c>
      <c r="H15" s="118">
        <v>0</v>
      </c>
      <c r="I15" s="118">
        <v>0</v>
      </c>
      <c r="J15" s="118">
        <v>5181.2583216609228</v>
      </c>
      <c r="K15" s="118">
        <v>0</v>
      </c>
      <c r="L15" s="118">
        <v>0</v>
      </c>
    </row>
    <row r="16" spans="1:12" ht="15" customHeight="1" x14ac:dyDescent="0.25">
      <c r="A16" s="113" t="s">
        <v>97</v>
      </c>
      <c r="B16" s="118">
        <v>1250</v>
      </c>
      <c r="C16" s="118">
        <v>0</v>
      </c>
      <c r="D16" s="118">
        <v>1313.2812499999998</v>
      </c>
      <c r="E16" s="118">
        <v>0</v>
      </c>
      <c r="F16" s="118">
        <v>0</v>
      </c>
      <c r="G16" s="118">
        <v>1414.2602661132805</v>
      </c>
      <c r="H16" s="118">
        <v>0</v>
      </c>
      <c r="I16" s="118">
        <v>0</v>
      </c>
      <c r="J16" s="118">
        <v>1523.0036218873965</v>
      </c>
      <c r="K16" s="118">
        <v>0</v>
      </c>
      <c r="L16" s="118">
        <v>0</v>
      </c>
    </row>
    <row r="17" spans="1:12" ht="15" customHeight="1" x14ac:dyDescent="0.25">
      <c r="A17" s="113" t="s">
        <v>94</v>
      </c>
      <c r="B17" s="118">
        <v>12652.5</v>
      </c>
      <c r="C17" s="118">
        <v>0</v>
      </c>
      <c r="D17" s="118">
        <v>1313.2812499999998</v>
      </c>
      <c r="E17" s="118">
        <v>0</v>
      </c>
      <c r="F17" s="118">
        <v>4693.9643173828108</v>
      </c>
      <c r="G17" s="118">
        <v>1414.2602661132805</v>
      </c>
      <c r="H17" s="118">
        <v>0</v>
      </c>
      <c r="I17" s="118">
        <v>0</v>
      </c>
      <c r="J17" s="118">
        <v>6704.2619435483193</v>
      </c>
      <c r="K17" s="118">
        <v>0</v>
      </c>
      <c r="L17" s="118">
        <v>0</v>
      </c>
    </row>
    <row r="18" spans="1:12" ht="15" customHeight="1" x14ac:dyDescent="0.25">
      <c r="A18" s="113" t="s">
        <v>98</v>
      </c>
    </row>
    <row r="19" spans="1:12" ht="15" customHeight="1" x14ac:dyDescent="0.25">
      <c r="A19" s="113" t="s">
        <v>99</v>
      </c>
      <c r="B19" s="118">
        <v>760</v>
      </c>
      <c r="C19" s="118">
        <v>0</v>
      </c>
      <c r="D19" s="118">
        <v>0</v>
      </c>
      <c r="E19" s="118">
        <v>0</v>
      </c>
      <c r="F19" s="118">
        <v>0</v>
      </c>
      <c r="G19" s="118">
        <v>0</v>
      </c>
      <c r="H19" s="118">
        <v>881.36699784179643</v>
      </c>
      <c r="I19" s="118">
        <v>0</v>
      </c>
      <c r="J19" s="118">
        <v>0</v>
      </c>
      <c r="K19" s="118">
        <v>0</v>
      </c>
      <c r="L19" s="118">
        <v>0</v>
      </c>
    </row>
    <row r="20" spans="1:12" ht="15" customHeight="1" x14ac:dyDescent="0.25">
      <c r="A20" s="113" t="s">
        <v>100</v>
      </c>
      <c r="B20" s="118">
        <v>1744</v>
      </c>
      <c r="C20" s="118">
        <v>0</v>
      </c>
      <c r="D20" s="118">
        <v>0</v>
      </c>
      <c r="E20" s="118">
        <v>0</v>
      </c>
      <c r="F20" s="118">
        <v>0</v>
      </c>
      <c r="G20" s="118">
        <v>0</v>
      </c>
      <c r="H20" s="118">
        <v>2022.5053213632802</v>
      </c>
      <c r="I20" s="118">
        <v>0</v>
      </c>
      <c r="J20" s="118">
        <v>0</v>
      </c>
      <c r="K20" s="118">
        <v>0</v>
      </c>
      <c r="L20" s="118">
        <v>0</v>
      </c>
    </row>
    <row r="21" spans="1:12" ht="15" customHeight="1" x14ac:dyDescent="0.25">
      <c r="A21" s="113" t="s">
        <v>101</v>
      </c>
      <c r="B21" s="118">
        <v>550</v>
      </c>
      <c r="C21" s="118">
        <v>0</v>
      </c>
      <c r="D21" s="118">
        <v>0</v>
      </c>
      <c r="E21" s="118">
        <v>0</v>
      </c>
      <c r="F21" s="118">
        <v>0</v>
      </c>
      <c r="G21" s="118">
        <v>0</v>
      </c>
      <c r="H21" s="118">
        <v>637.8313800170896</v>
      </c>
      <c r="I21" s="118">
        <v>0</v>
      </c>
      <c r="J21" s="118">
        <v>0</v>
      </c>
      <c r="K21" s="118">
        <v>0</v>
      </c>
      <c r="L21" s="118">
        <v>0</v>
      </c>
    </row>
    <row r="22" spans="1:12" ht="15" customHeight="1" x14ac:dyDescent="0.25">
      <c r="A22" s="113" t="s">
        <v>102</v>
      </c>
      <c r="B22" s="118">
        <v>200</v>
      </c>
      <c r="C22" s="118">
        <v>204.99999999999997</v>
      </c>
      <c r="D22" s="118">
        <v>0</v>
      </c>
      <c r="E22" s="118">
        <v>0</v>
      </c>
      <c r="F22" s="118">
        <v>220.76257812499992</v>
      </c>
      <c r="G22" s="118">
        <v>0</v>
      </c>
      <c r="H22" s="118">
        <v>0</v>
      </c>
      <c r="I22" s="118">
        <v>237.73715073364241</v>
      </c>
      <c r="J22" s="118">
        <v>0</v>
      </c>
      <c r="K22" s="118">
        <v>0</v>
      </c>
      <c r="L22" s="118">
        <v>256.01690883927131</v>
      </c>
    </row>
    <row r="23" spans="1:12" ht="15" customHeight="1" x14ac:dyDescent="0.25">
      <c r="A23" s="113" t="s">
        <v>94</v>
      </c>
      <c r="B23" s="118">
        <v>5779</v>
      </c>
      <c r="C23" s="118">
        <v>204.99999999999997</v>
      </c>
      <c r="D23" s="118">
        <v>0</v>
      </c>
      <c r="E23" s="118">
        <v>0</v>
      </c>
      <c r="F23" s="118">
        <v>220.76257812499992</v>
      </c>
      <c r="G23" s="118">
        <v>0</v>
      </c>
      <c r="H23" s="118">
        <v>3541.7036992221661</v>
      </c>
      <c r="I23" s="118">
        <v>237.73715073364241</v>
      </c>
      <c r="J23" s="118">
        <v>0</v>
      </c>
      <c r="K23" s="118">
        <v>0</v>
      </c>
      <c r="L23" s="118">
        <v>256.01690883927131</v>
      </c>
    </row>
    <row r="24" spans="1:12" ht="15" customHeight="1" x14ac:dyDescent="0.25">
      <c r="A24" s="113" t="s">
        <v>103</v>
      </c>
    </row>
    <row r="25" spans="1:12" ht="15" customHeight="1" x14ac:dyDescent="0.25">
      <c r="A25" s="113" t="s">
        <v>104</v>
      </c>
      <c r="B25" s="118">
        <v>3240</v>
      </c>
      <c r="C25" s="118">
        <v>0</v>
      </c>
      <c r="D25" s="118">
        <v>0</v>
      </c>
      <c r="E25" s="118">
        <v>0</v>
      </c>
      <c r="F25" s="118">
        <v>3576.3537656249982</v>
      </c>
      <c r="G25" s="118">
        <v>0</v>
      </c>
      <c r="H25" s="118">
        <v>0</v>
      </c>
      <c r="I25" s="118">
        <v>0</v>
      </c>
      <c r="J25" s="118">
        <v>0</v>
      </c>
      <c r="K25" s="118">
        <v>0</v>
      </c>
      <c r="L25" s="118">
        <v>0</v>
      </c>
    </row>
    <row r="26" spans="1:12" ht="15" customHeight="1" x14ac:dyDescent="0.25">
      <c r="A26" s="113" t="s">
        <v>105</v>
      </c>
      <c r="B26" s="118">
        <v>2271</v>
      </c>
      <c r="C26" s="118">
        <v>0</v>
      </c>
      <c r="D26" s="118">
        <v>0</v>
      </c>
      <c r="E26" s="118">
        <v>0</v>
      </c>
      <c r="F26" s="118">
        <v>0</v>
      </c>
      <c r="G26" s="118">
        <v>0</v>
      </c>
      <c r="H26" s="118">
        <v>2633.663752761473</v>
      </c>
      <c r="I26" s="118">
        <v>0</v>
      </c>
      <c r="J26" s="118">
        <v>0</v>
      </c>
      <c r="K26" s="118">
        <v>0</v>
      </c>
      <c r="L26" s="118">
        <v>0</v>
      </c>
    </row>
    <row r="27" spans="1:12" ht="15" customHeight="1" x14ac:dyDescent="0.25">
      <c r="A27" s="113" t="s">
        <v>106</v>
      </c>
      <c r="B27" s="118">
        <v>220</v>
      </c>
      <c r="C27" s="118">
        <v>0</v>
      </c>
      <c r="D27" s="118">
        <v>0</v>
      </c>
      <c r="E27" s="118">
        <v>0</v>
      </c>
      <c r="F27" s="118">
        <v>0</v>
      </c>
      <c r="G27" s="118">
        <v>0</v>
      </c>
      <c r="H27" s="118">
        <v>255.13255200683579</v>
      </c>
      <c r="I27" s="118">
        <v>0</v>
      </c>
      <c r="J27" s="118">
        <v>0</v>
      </c>
      <c r="K27" s="118">
        <v>0</v>
      </c>
      <c r="L27" s="118">
        <v>0</v>
      </c>
    </row>
    <row r="28" spans="1:12" ht="15" customHeight="1" x14ac:dyDescent="0.25">
      <c r="A28" s="113" t="s">
        <v>107</v>
      </c>
      <c r="B28" s="118">
        <v>2312.5</v>
      </c>
      <c r="C28" s="118">
        <v>0</v>
      </c>
      <c r="D28" s="118">
        <v>0</v>
      </c>
      <c r="E28" s="118">
        <v>0</v>
      </c>
      <c r="F28" s="118">
        <v>0</v>
      </c>
      <c r="G28" s="118">
        <v>2616.3814923095697</v>
      </c>
      <c r="H28" s="118">
        <v>0</v>
      </c>
      <c r="I28" s="118">
        <v>0</v>
      </c>
      <c r="J28" s="118">
        <v>0</v>
      </c>
      <c r="K28" s="118">
        <v>0</v>
      </c>
      <c r="L28" s="118">
        <v>0</v>
      </c>
    </row>
    <row r="29" spans="1:12" ht="15" customHeight="1" x14ac:dyDescent="0.25">
      <c r="A29" s="113" t="s">
        <v>108</v>
      </c>
      <c r="B29" s="118">
        <v>1626</v>
      </c>
      <c r="C29" s="118">
        <v>0</v>
      </c>
      <c r="D29" s="118">
        <v>0</v>
      </c>
      <c r="E29" s="118">
        <v>1751.0241562499996</v>
      </c>
      <c r="F29" s="118">
        <v>0</v>
      </c>
      <c r="G29" s="118">
        <v>0</v>
      </c>
      <c r="H29" s="118">
        <v>1885.6614980141594</v>
      </c>
      <c r="I29" s="118">
        <v>0</v>
      </c>
      <c r="J29" s="118">
        <v>0</v>
      </c>
      <c r="K29" s="118">
        <v>2030.6511891349037</v>
      </c>
      <c r="L29" s="118">
        <v>0</v>
      </c>
    </row>
    <row r="30" spans="1:12" ht="15" customHeight="1" x14ac:dyDescent="0.25">
      <c r="A30" s="113" t="s">
        <v>94</v>
      </c>
      <c r="B30" s="118">
        <v>9669.5</v>
      </c>
      <c r="C30" s="118">
        <v>0</v>
      </c>
      <c r="D30" s="118">
        <v>0</v>
      </c>
      <c r="E30" s="118">
        <v>1751.0241562499996</v>
      </c>
      <c r="F30" s="118">
        <v>3576.3537656249982</v>
      </c>
      <c r="G30" s="118">
        <v>2616.3814923095697</v>
      </c>
      <c r="H30" s="118">
        <v>4774.4578027824682</v>
      </c>
      <c r="I30" s="118">
        <v>0</v>
      </c>
      <c r="J30" s="118">
        <v>0</v>
      </c>
      <c r="K30" s="118">
        <v>2030.6511891349037</v>
      </c>
      <c r="L30" s="118">
        <v>0</v>
      </c>
    </row>
    <row r="31" spans="1:12" ht="15" customHeight="1" x14ac:dyDescent="0.25">
      <c r="A31" s="113" t="s">
        <v>109</v>
      </c>
    </row>
    <row r="32" spans="1:12" ht="15" customHeight="1" x14ac:dyDescent="0.25">
      <c r="A32" s="113" t="s">
        <v>110</v>
      </c>
      <c r="B32" s="118">
        <v>685</v>
      </c>
      <c r="C32" s="118">
        <v>0</v>
      </c>
      <c r="D32" s="118">
        <v>0</v>
      </c>
      <c r="E32" s="118">
        <v>0</v>
      </c>
      <c r="F32" s="118">
        <v>0</v>
      </c>
      <c r="G32" s="118">
        <v>0</v>
      </c>
      <c r="H32" s="118">
        <v>0</v>
      </c>
      <c r="I32" s="118">
        <v>814.24974126272525</v>
      </c>
      <c r="J32" s="118">
        <v>0</v>
      </c>
      <c r="K32" s="118">
        <v>0</v>
      </c>
      <c r="L32" s="118">
        <v>0</v>
      </c>
    </row>
    <row r="33" spans="1:12" ht="15" customHeight="1" x14ac:dyDescent="0.25">
      <c r="A33" s="113" t="s">
        <v>111</v>
      </c>
      <c r="B33" s="118">
        <v>212.5</v>
      </c>
      <c r="C33" s="118">
        <v>0</v>
      </c>
      <c r="D33" s="118">
        <v>0</v>
      </c>
      <c r="E33" s="118">
        <v>0</v>
      </c>
      <c r="F33" s="118">
        <v>0</v>
      </c>
      <c r="G33" s="118">
        <v>0</v>
      </c>
      <c r="H33" s="118">
        <v>0</v>
      </c>
      <c r="I33" s="118">
        <v>0</v>
      </c>
      <c r="J33" s="118">
        <v>0</v>
      </c>
      <c r="K33" s="118">
        <v>265.38338111387884</v>
      </c>
      <c r="L33" s="118">
        <v>0</v>
      </c>
    </row>
    <row r="34" spans="1:12" ht="15" customHeight="1" x14ac:dyDescent="0.25">
      <c r="A34" s="113" t="s">
        <v>112</v>
      </c>
      <c r="B34" s="118">
        <v>1626</v>
      </c>
      <c r="C34" s="118">
        <v>1666.6499999999999</v>
      </c>
      <c r="D34" s="118">
        <v>0</v>
      </c>
      <c r="E34" s="118">
        <v>0</v>
      </c>
      <c r="F34" s="118">
        <v>1794.7997601562495</v>
      </c>
      <c r="G34" s="118">
        <v>0</v>
      </c>
      <c r="H34" s="118">
        <v>0</v>
      </c>
      <c r="I34" s="118">
        <v>1932.8030354645132</v>
      </c>
      <c r="J34" s="118">
        <v>0</v>
      </c>
      <c r="K34" s="118">
        <v>0</v>
      </c>
      <c r="L34" s="118">
        <v>2081.4174688632761</v>
      </c>
    </row>
    <row r="35" spans="1:12" ht="15" customHeight="1" x14ac:dyDescent="0.25">
      <c r="A35" s="113" t="s">
        <v>113</v>
      </c>
      <c r="B35" s="118">
        <v>625</v>
      </c>
      <c r="C35" s="118">
        <v>640.625</v>
      </c>
      <c r="D35" s="118">
        <v>0</v>
      </c>
      <c r="E35" s="118">
        <v>0</v>
      </c>
      <c r="F35" s="118">
        <v>0</v>
      </c>
      <c r="G35" s="118">
        <v>707.13013305664026</v>
      </c>
      <c r="H35" s="118">
        <v>0</v>
      </c>
      <c r="I35" s="118">
        <v>0</v>
      </c>
      <c r="J35" s="118">
        <v>0</v>
      </c>
      <c r="K35" s="118">
        <v>780.53935621729067</v>
      </c>
      <c r="L35" s="118">
        <v>0</v>
      </c>
    </row>
    <row r="36" spans="1:12" ht="15" customHeight="1" x14ac:dyDescent="0.25">
      <c r="A36" s="113" t="s">
        <v>94</v>
      </c>
      <c r="B36" s="118">
        <v>3148.5</v>
      </c>
      <c r="C36" s="118">
        <v>2307.2749999999996</v>
      </c>
      <c r="D36" s="118">
        <v>0</v>
      </c>
      <c r="E36" s="118">
        <v>0</v>
      </c>
      <c r="F36" s="118">
        <v>1794.7997601562495</v>
      </c>
      <c r="G36" s="118">
        <v>707.13013305664026</v>
      </c>
      <c r="H36" s="118">
        <v>0</v>
      </c>
      <c r="I36" s="118">
        <v>2747.0527767272383</v>
      </c>
      <c r="J36" s="118">
        <v>0</v>
      </c>
      <c r="K36" s="118">
        <v>1045.9227373311696</v>
      </c>
      <c r="L36" s="118">
        <v>2081.4174688632761</v>
      </c>
    </row>
    <row r="37" spans="1:12" ht="15" customHeight="1" x14ac:dyDescent="0.25">
      <c r="A37" s="113" t="s">
        <v>146</v>
      </c>
    </row>
    <row r="38" spans="1:12" ht="15" customHeight="1" x14ac:dyDescent="0.25">
      <c r="A38" s="113" t="s">
        <v>110</v>
      </c>
      <c r="B38" s="118">
        <v>685</v>
      </c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</v>
      </c>
      <c r="I38" s="118">
        <v>814.24974126272525</v>
      </c>
      <c r="J38" s="118">
        <v>0</v>
      </c>
      <c r="K38" s="118">
        <v>0</v>
      </c>
      <c r="L38" s="118">
        <v>0</v>
      </c>
    </row>
    <row r="39" spans="1:12" ht="15" customHeight="1" x14ac:dyDescent="0.25">
      <c r="A39" s="113" t="s">
        <v>111</v>
      </c>
      <c r="B39" s="118">
        <v>212.5</v>
      </c>
      <c r="C39" s="118">
        <v>0</v>
      </c>
      <c r="D39" s="118">
        <v>0</v>
      </c>
      <c r="E39" s="118">
        <v>0</v>
      </c>
      <c r="F39" s="118">
        <v>0</v>
      </c>
      <c r="G39" s="118">
        <v>0</v>
      </c>
      <c r="H39" s="118">
        <v>0</v>
      </c>
      <c r="I39" s="118">
        <v>0</v>
      </c>
      <c r="J39" s="118">
        <v>0</v>
      </c>
      <c r="K39" s="118">
        <v>265.38338111387884</v>
      </c>
      <c r="L39" s="118">
        <v>0</v>
      </c>
    </row>
    <row r="40" spans="1:12" ht="15" customHeight="1" x14ac:dyDescent="0.25">
      <c r="A40" s="113" t="s">
        <v>112</v>
      </c>
      <c r="B40" s="118">
        <v>1626</v>
      </c>
      <c r="C40" s="118">
        <v>1666.6499999999999</v>
      </c>
      <c r="D40" s="118">
        <v>0</v>
      </c>
      <c r="E40" s="118">
        <v>0</v>
      </c>
      <c r="F40" s="118">
        <v>1794.7997601562495</v>
      </c>
      <c r="G40" s="118">
        <v>0</v>
      </c>
      <c r="H40" s="118">
        <v>0</v>
      </c>
      <c r="I40" s="118">
        <v>1932.8030354645132</v>
      </c>
      <c r="J40" s="118">
        <v>0</v>
      </c>
      <c r="K40" s="118">
        <v>0</v>
      </c>
      <c r="L40" s="118">
        <v>2081.4174688632761</v>
      </c>
    </row>
    <row r="41" spans="1:12" ht="15" customHeight="1" x14ac:dyDescent="0.25">
      <c r="A41" s="113" t="s">
        <v>113</v>
      </c>
      <c r="B41" s="118">
        <v>625</v>
      </c>
      <c r="C41" s="118">
        <v>640.625</v>
      </c>
      <c r="D41" s="118">
        <v>0</v>
      </c>
      <c r="E41" s="118">
        <v>0</v>
      </c>
      <c r="F41" s="118">
        <v>0</v>
      </c>
      <c r="G41" s="118">
        <v>707.13013305664026</v>
      </c>
      <c r="H41" s="118">
        <v>0</v>
      </c>
      <c r="I41" s="118">
        <v>0</v>
      </c>
      <c r="J41" s="118">
        <v>0</v>
      </c>
      <c r="K41" s="118">
        <v>780.53935621729067</v>
      </c>
      <c r="L41" s="118">
        <v>0</v>
      </c>
    </row>
    <row r="42" spans="1:12" ht="15" customHeight="1" x14ac:dyDescent="0.25">
      <c r="A42" s="113" t="s">
        <v>94</v>
      </c>
      <c r="B42" s="118">
        <v>3148.5</v>
      </c>
      <c r="C42" s="118">
        <v>2307.2749999999996</v>
      </c>
      <c r="D42" s="118">
        <v>0</v>
      </c>
      <c r="E42" s="118">
        <v>0</v>
      </c>
      <c r="F42" s="118">
        <v>1794.7997601562495</v>
      </c>
      <c r="G42" s="118">
        <v>707.13013305664026</v>
      </c>
      <c r="H42" s="118">
        <v>0</v>
      </c>
      <c r="I42" s="118">
        <v>2747.0527767272383</v>
      </c>
      <c r="J42" s="118">
        <v>0</v>
      </c>
      <c r="K42" s="118">
        <v>1045.9227373311696</v>
      </c>
      <c r="L42" s="118">
        <v>2081.4174688632761</v>
      </c>
    </row>
    <row r="44" spans="1:12" ht="15" customHeight="1" x14ac:dyDescent="0.25">
      <c r="A44" s="113" t="s">
        <v>125</v>
      </c>
      <c r="B44" s="118">
        <v>104945</v>
      </c>
      <c r="C44" s="118">
        <v>8878.5499999999993</v>
      </c>
      <c r="D44" s="118">
        <v>1313.2812499999998</v>
      </c>
      <c r="E44" s="118">
        <v>2757.9168906249993</v>
      </c>
      <c r="F44" s="118">
        <v>17350.834827734368</v>
      </c>
      <c r="G44" s="118">
        <v>5444.9020245361307</v>
      </c>
      <c r="H44" s="118">
        <v>23740.083964236073</v>
      </c>
      <c r="I44" s="118">
        <v>10439.038288714239</v>
      </c>
      <c r="J44" s="118">
        <v>7696.6511035701469</v>
      </c>
      <c r="K44" s="118">
        <v>5290.18354069831</v>
      </c>
      <c r="L44" s="118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112" bestFit="1" customWidth="1"/>
    <col min="2" max="2" width="10.85546875" style="117" customWidth="1"/>
    <col min="3" max="3" width="4.7109375" style="117" bestFit="1" customWidth="1"/>
    <col min="4" max="4" width="3.5703125" style="117" bestFit="1" customWidth="1"/>
    <col min="5" max="12" width="4.7109375" style="117" bestFit="1" customWidth="1"/>
    <col min="13" max="19" width="5.7109375" style="117" customWidth="1"/>
    <col min="20" max="26" width="9.140625" style="117"/>
    <col min="27" max="16384" width="9.140625" style="112"/>
  </cols>
  <sheetData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RowHeight="15" customHeight="1" x14ac:dyDescent="0.25"/>
  <cols>
    <col min="1" max="1" width="58.7109375" bestFit="1" customWidth="1"/>
    <col min="2" max="2" width="14.28515625" style="69" bestFit="1" customWidth="1"/>
    <col min="3" max="3" width="6.140625" style="69" bestFit="1" customWidth="1"/>
    <col min="4" max="5" width="4.7109375" style="69" bestFit="1" customWidth="1"/>
    <col min="6" max="12" width="6.140625" style="69" bestFit="1" customWidth="1"/>
    <col min="13" max="13" width="7.140625" style="69" bestFit="1" customWidth="1"/>
    <col min="14" max="14" width="6.140625" style="69" bestFit="1" customWidth="1"/>
    <col min="15" max="18" width="5.7109375" style="69" customWidth="1"/>
    <col min="19" max="26" width="9" style="69"/>
  </cols>
  <sheetData/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creator>Joseph Bechara</dc:creator>
  <cp:keywords>Report</cp:keywords>
  <cp:lastModifiedBy>joe bechara</cp:lastModifiedBy>
  <cp:lastPrinted>2020-02-04T16:42:52Z</cp:lastPrinted>
  <dcterms:created xsi:type="dcterms:W3CDTF">2020-01-27T07:06:52Z</dcterms:created>
  <dcterms:modified xsi:type="dcterms:W3CDTF">2026-07-15T00:48:29Z</dcterms:modified>
</cp:coreProperties>
</file>