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5.xml" ContentType="application/vnd.openxmlformats-officedocument.drawing+xml"/>
  <Override PartName="/xl/ctrlProps/ctrlProp2.xml" ContentType="application/vnd.ms-excel.controlproperties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tudentutsedu-my.sharepoint.com/personal/allan_bechara_student_uts_edu_au/Documents/Desktop/testers/8400/"/>
    </mc:Choice>
  </mc:AlternateContent>
  <xr:revisionPtr revIDLastSave="1048" documentId="13_ncr:1_{80BF0103-209B-47C1-9DE2-263E633D74F2}" xr6:coauthVersionLast="47" xr6:coauthVersionMax="47" xr10:uidLastSave="{395BB985-E89E-437D-ABAF-DBC21E9C3B2B}"/>
  <bookViews>
    <workbookView xWindow="38280" yWindow="-120" windowWidth="29040" windowHeight="15840" tabRatio="888" firstSheet="1" activeTab="2" xr2:uid="{00000000-000D-0000-FFFF-FFFF00000000}"/>
  </bookViews>
  <sheets>
    <sheet name="Template Selection" sheetId="1" r:id="rId1"/>
    <sheet name="Inputs and assumptions " sheetId="2" r:id="rId2"/>
    <sheet name="Summary Page for Building Data" sheetId="3" r:id="rId3"/>
    <sheet name="Optimize Contribution" sheetId="4" r:id="rId4"/>
    <sheet name="Summary" sheetId="5" r:id="rId5"/>
    <sheet name="Future Value Calculator" sheetId="6" r:id="rId6"/>
    <sheet name="Splits - Info" sheetId="7" state="hidden" r:id="rId7"/>
    <sheet name="Contribution Splits" sheetId="8" state="hidden" r:id="rId8"/>
    <sheet name="shtbl1" sheetId="9" state="hidden" r:id="rId9"/>
    <sheet name="shtbl2" sheetId="10" state="hidden" r:id="rId10"/>
    <sheet name="shtbl3" sheetId="11" state="hidden" r:id="rId11"/>
    <sheet name="shtbl4" sheetId="12" state="hidden" r:id="rId12"/>
    <sheet name="shtbl5" sheetId="13" state="hidden" r:id="rId13"/>
    <sheet name="shtbl6" sheetId="14" state="hidden" r:id="rId14"/>
    <sheet name="shtbl7" sheetId="15" state="hidden" r:id="rId15"/>
    <sheet name="shtbl8" sheetId="16" state="hidden" r:id="rId16"/>
    <sheet name="shtbl9" sheetId="17" state="hidden" r:id="rId17"/>
    <sheet name="shtbl10" sheetId="18" state="hidden" r:id="rId18"/>
  </sheets>
  <functionGroups builtInGroupCount="19"/>
  <definedNames>
    <definedName name="AverageColosingBalanceGoal">'Optimize Contribution'!$M$12</definedName>
    <definedName name="AverageGoal">'Optimize Contribution'!$M$16</definedName>
    <definedName name="BD_Title_Items">'Summary Page for Building Data'!$A$4</definedName>
    <definedName name="BD_Title_NextDue">'Summary Page for Building Data'!$G$4</definedName>
    <definedName name="BD_Title_PresentValue">'Summary Page for Building Data'!$F$4</definedName>
    <definedName name="BD_Title_Scope">'Summary Page for Building Data'!$B$4</definedName>
    <definedName name="BD_Title_TotalLife">'Summary Page for Building Data'!$H$4</definedName>
    <definedName name="CBRange">OFFSET('Optimize Contribution'!$I$6,0,0,COUNTA('Optimize Contribution'!$A:$A),1)</definedName>
    <definedName name="ColosingBalanceGoal">'Optimize Contribution'!$M$9</definedName>
    <definedName name="ContrFrom">'Optimize Contribution'!$D$7</definedName>
    <definedName name="ContrTo">'Optimize Contribution'!$D$8</definedName>
    <definedName name="EXrange">OFFSET('Optimize Contribution'!$G$6,0,0,COUNTA('Optimize Contribution'!$A:$A),1)</definedName>
    <definedName name="FVC_CompoundingPeriods">'Future Value Calculator'!$C$12</definedName>
    <definedName name="FVC_CPI">'Future Value Calculator'!$C$11</definedName>
    <definedName name="FVC_Table_Prediction">'Future Value Calculator'!$D$15</definedName>
    <definedName name="FVC_Term">'Future Value Calculator'!$C$8</definedName>
    <definedName name="FVC_Title_ExpenditureItem">'Future Value Calculator'!$B$14</definedName>
    <definedName name="FVC_Title_PresentValue">'Future Value Calculator'!$C$14</definedName>
    <definedName name="FVC_Title_Years">'Future Value Calculator'!$D$14</definedName>
    <definedName name="IA_ContingencyAllowance">'Inputs and assumptions '!$C$25</definedName>
    <definedName name="IA_CPI">'Inputs and assumptions '!$C$24</definedName>
    <definedName name="IA_CurrentBalance">'Inputs and assumptions '!$C$10</definedName>
    <definedName name="IA_FundLevy">'Inputs and assumptions '!$C$13</definedName>
    <definedName name="IA_ProjectionYears">'Inputs and assumptions '!$C$23</definedName>
    <definedName name="IA_ReturnRate">'Inputs and assumptions '!$C$22</definedName>
    <definedName name="myNamedRange">'Template Selection'!$H$1:$H$6</definedName>
    <definedName name="OC_Title_CloseingBalance">'Optimize Contribution'!$I$4</definedName>
    <definedName name="OC_Title_ContingencyAllowance">'Optimize Contribution'!$H$4</definedName>
    <definedName name="OC_Title_ContributionIncreaseRate">'Optimize Contribution'!$F$4</definedName>
    <definedName name="OC_Title_ContributionPerLot">'Optimize Contribution'!$E$4</definedName>
    <definedName name="OC_Title_Expense">'Optimize Contribution'!$G$4</definedName>
    <definedName name="OC_Title_Interest">'Optimize Contribution'!$J$4</definedName>
    <definedName name="OC_Title_OpeningBalance">'Optimize Contribution'!$C$4</definedName>
    <definedName name="OC_Title_RecommandationContribution">'Optimize Contribution'!$D$4</definedName>
    <definedName name="OC_Title_Year">'Optimize Contribution'!$A$4</definedName>
    <definedName name="OC_Title_YearEnding">'Optimize Contribution'!$B$4</definedName>
    <definedName name="RCRange">OFFSET('Optimize Contribution'!$D$6,0,0,COUNTA('Optimize Contribution'!$A:$A),1)</definedName>
    <definedName name="S_Title_CurrentBalance">Summary!$C$9</definedName>
    <definedName name="S_Title_DifferenceRequired">Summary!$C$10</definedName>
    <definedName name="S_Title_Scope">Summary!$C$7</definedName>
    <definedName name="S_Title_TotalCapital">Summary!$C$8</definedName>
    <definedName name="YearRange">OFFSET('Optimize Contribution'!$A$6,0,0,COUNTA('Optimize Contribution'!$A:$A),2)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C16" i="6" l="1"/>
  <c r="AC17" i="6"/>
  <c r="AC18" i="6"/>
  <c r="AC19" i="6"/>
  <c r="AC20" i="6"/>
  <c r="AC21" i="6"/>
  <c r="AC22" i="6"/>
  <c r="AC23" i="6"/>
  <c r="AC24" i="6"/>
  <c r="AC25" i="6"/>
  <c r="AC26" i="6"/>
  <c r="AC27" i="6"/>
  <c r="AC28" i="6"/>
  <c r="AC29" i="6"/>
  <c r="AC30" i="6"/>
  <c r="AC31" i="6"/>
  <c r="AC32" i="6"/>
  <c r="AC33" i="6"/>
  <c r="AC34" i="6"/>
  <c r="AC35" i="6"/>
  <c r="AC36" i="6"/>
  <c r="AC37" i="6"/>
  <c r="AC38" i="6"/>
  <c r="AC39" i="6"/>
  <c r="AC40" i="6"/>
  <c r="AC41" i="6"/>
  <c r="AC42" i="6"/>
  <c r="AC43" i="6"/>
  <c r="AC44" i="6"/>
  <c r="AC45" i="6"/>
  <c r="AC46" i="6"/>
  <c r="AC47" i="6"/>
  <c r="AC48" i="6"/>
  <c r="AC49" i="6"/>
  <c r="AC50" i="6"/>
  <c r="AC51" i="6"/>
  <c r="AC52" i="6"/>
  <c r="AC53" i="6"/>
  <c r="AC54" i="6"/>
  <c r="AC55" i="6"/>
  <c r="AC56" i="6"/>
  <c r="AC57" i="6"/>
  <c r="AC58" i="6"/>
  <c r="AC59" i="6"/>
  <c r="AC60" i="6"/>
  <c r="AC61" i="6"/>
  <c r="AC62" i="6"/>
  <c r="AC63" i="6"/>
  <c r="AC64" i="6"/>
  <c r="AC65" i="6"/>
  <c r="AC66" i="6"/>
  <c r="AC67" i="6"/>
  <c r="AC68" i="6"/>
  <c r="AC69" i="6"/>
  <c r="AC70" i="6"/>
  <c r="AC71" i="6"/>
  <c r="AC72" i="6"/>
  <c r="AC73" i="6"/>
  <c r="AC74" i="6"/>
  <c r="AC15" i="6"/>
  <c r="D9" i="4"/>
  <c r="D10" i="4"/>
  <c r="D11" i="4"/>
  <c r="D12" i="4"/>
  <c r="D13" i="4"/>
  <c r="E13" i="4" s="1"/>
  <c r="D14" i="4"/>
  <c r="D15" i="4"/>
  <c r="D16" i="4"/>
  <c r="D17" i="4"/>
  <c r="E17" i="4" s="1"/>
  <c r="D8" i="4"/>
  <c r="K17" i="4"/>
  <c r="K16" i="4"/>
  <c r="K15" i="4"/>
  <c r="K14" i="4"/>
  <c r="K13" i="4"/>
  <c r="K12" i="4"/>
  <c r="K11" i="4"/>
  <c r="K10" i="4"/>
  <c r="K9" i="4"/>
  <c r="K8" i="4"/>
  <c r="K7" i="4"/>
  <c r="F10" i="4"/>
  <c r="E10" i="4"/>
  <c r="E9" i="4"/>
  <c r="C8" i="4"/>
  <c r="H17" i="4"/>
  <c r="H16" i="4"/>
  <c r="H15" i="4"/>
  <c r="H14" i="4"/>
  <c r="H13" i="4"/>
  <c r="H12" i="4"/>
  <c r="H11" i="4"/>
  <c r="H10" i="4"/>
  <c r="H9" i="4"/>
  <c r="H8" i="4"/>
  <c r="B17" i="4"/>
  <c r="B16" i="4"/>
  <c r="B15" i="4"/>
  <c r="B14" i="4"/>
  <c r="B13" i="4"/>
  <c r="B12" i="4"/>
  <c r="B11" i="4"/>
  <c r="B10" i="4"/>
  <c r="B9" i="4"/>
  <c r="B8" i="4"/>
  <c r="AC16" i="3"/>
  <c r="AC17" i="3"/>
  <c r="AC18" i="3"/>
  <c r="AC19" i="3"/>
  <c r="AC20" i="3"/>
  <c r="AC21" i="3"/>
  <c r="AC22" i="3"/>
  <c r="AC23" i="3"/>
  <c r="AC24" i="3"/>
  <c r="AC25" i="3"/>
  <c r="AC26" i="3"/>
  <c r="AC27" i="3"/>
  <c r="AC28" i="3"/>
  <c r="AC29" i="3"/>
  <c r="AC30" i="3"/>
  <c r="AC31" i="3"/>
  <c r="AC32" i="3"/>
  <c r="AC33" i="3"/>
  <c r="AC34" i="3"/>
  <c r="AC35" i="3"/>
  <c r="AC36" i="3"/>
  <c r="AC37" i="3"/>
  <c r="AC38" i="3"/>
  <c r="AC39" i="3"/>
  <c r="AC40" i="3"/>
  <c r="AC41" i="3"/>
  <c r="AC42" i="3"/>
  <c r="AC43" i="3"/>
  <c r="AC44" i="3"/>
  <c r="AC45" i="3"/>
  <c r="AC46" i="3"/>
  <c r="AC47" i="3"/>
  <c r="AC48" i="3"/>
  <c r="AC49" i="3"/>
  <c r="AC50" i="3"/>
  <c r="AC51" i="3"/>
  <c r="AC52" i="3"/>
  <c r="AC53" i="3"/>
  <c r="AC54" i="3"/>
  <c r="AC55" i="3"/>
  <c r="AC56" i="3"/>
  <c r="AC57" i="3"/>
  <c r="AC58" i="3"/>
  <c r="AC59" i="3"/>
  <c r="AC60" i="3"/>
  <c r="AC61" i="3"/>
  <c r="AC62" i="3"/>
  <c r="AC63" i="3"/>
  <c r="AC15" i="3"/>
  <c r="AC2" i="5"/>
  <c r="AC3" i="5"/>
  <c r="AC4" i="5"/>
  <c r="AC5" i="5"/>
  <c r="AC6" i="5"/>
  <c r="AC11" i="5"/>
  <c r="AC14" i="5"/>
  <c r="AC15" i="5"/>
  <c r="F7" i="3"/>
  <c r="F8" i="3"/>
  <c r="F10" i="3"/>
  <c r="F11" i="3"/>
  <c r="F12" i="3"/>
  <c r="F13" i="3"/>
  <c r="F14" i="3"/>
  <c r="F15" i="3"/>
  <c r="F16" i="3"/>
  <c r="F18" i="3"/>
  <c r="F19" i="3"/>
  <c r="F21" i="3"/>
  <c r="F22" i="3"/>
  <c r="F23" i="3"/>
  <c r="F24" i="3"/>
  <c r="F25" i="3"/>
  <c r="F27" i="3"/>
  <c r="F28" i="3"/>
  <c r="F30" i="3"/>
  <c r="F31" i="3"/>
  <c r="F32" i="3"/>
  <c r="F33" i="3"/>
  <c r="F34" i="3"/>
  <c r="C24" i="8"/>
  <c r="B24" i="8"/>
  <c r="L5" i="8"/>
  <c r="K5" i="8"/>
  <c r="J5" i="8"/>
  <c r="I5" i="8"/>
  <c r="H5" i="8"/>
  <c r="G5" i="8"/>
  <c r="F5" i="8"/>
  <c r="E5" i="8"/>
  <c r="D5" i="8"/>
  <c r="C5" i="8"/>
  <c r="B5" i="8"/>
  <c r="AE4" i="8"/>
  <c r="AD4" i="8"/>
  <c r="AC4" i="8"/>
  <c r="AB4" i="8"/>
  <c r="AA4" i="8"/>
  <c r="Z4" i="8"/>
  <c r="Y4" i="8"/>
  <c r="X4" i="8"/>
  <c r="W4" i="8"/>
  <c r="V4" i="8"/>
  <c r="U4" i="8"/>
  <c r="T4" i="8"/>
  <c r="S4" i="8"/>
  <c r="R4" i="8"/>
  <c r="Q4" i="8"/>
  <c r="P4" i="8"/>
  <c r="O4" i="8"/>
  <c r="N4" i="8"/>
  <c r="M4" i="8"/>
  <c r="L4" i="8"/>
  <c r="K4" i="8"/>
  <c r="J4" i="8"/>
  <c r="I4" i="8"/>
  <c r="H4" i="8"/>
  <c r="G4" i="8"/>
  <c r="F4" i="8"/>
  <c r="E4" i="8"/>
  <c r="D4" i="8"/>
  <c r="C4" i="8"/>
  <c r="B4" i="8"/>
  <c r="AE3" i="8"/>
  <c r="AD3" i="8"/>
  <c r="AC3" i="8"/>
  <c r="AB3" i="8"/>
  <c r="AA3" i="8"/>
  <c r="Z3" i="8"/>
  <c r="Y3" i="8"/>
  <c r="X3" i="8"/>
  <c r="W3" i="8"/>
  <c r="V3" i="8"/>
  <c r="U3" i="8"/>
  <c r="T3" i="8"/>
  <c r="S3" i="8"/>
  <c r="R3" i="8"/>
  <c r="Q3" i="8"/>
  <c r="P3" i="8"/>
  <c r="O3" i="8"/>
  <c r="N3" i="8"/>
  <c r="M3" i="8"/>
  <c r="L3" i="8"/>
  <c r="K3" i="8"/>
  <c r="J3" i="8"/>
  <c r="I3" i="8"/>
  <c r="H3" i="8"/>
  <c r="G3" i="8"/>
  <c r="F3" i="8"/>
  <c r="E3" i="8"/>
  <c r="D3" i="8"/>
  <c r="C3" i="8"/>
  <c r="B3" i="8"/>
  <c r="AE2" i="8"/>
  <c r="AD2" i="8"/>
  <c r="AC2" i="8"/>
  <c r="AB2" i="8"/>
  <c r="AA2" i="8"/>
  <c r="Z2" i="8"/>
  <c r="Y2" i="8"/>
  <c r="X2" i="8"/>
  <c r="W2" i="8"/>
  <c r="V2" i="8"/>
  <c r="U2" i="8"/>
  <c r="T2" i="8"/>
  <c r="S2" i="8"/>
  <c r="R2" i="8"/>
  <c r="Q2" i="8"/>
  <c r="P2" i="8"/>
  <c r="O2" i="8"/>
  <c r="N2" i="8"/>
  <c r="M2" i="8"/>
  <c r="L2" i="8"/>
  <c r="K2" i="8"/>
  <c r="J2" i="8"/>
  <c r="I2" i="8"/>
  <c r="H2" i="8"/>
  <c r="G2" i="8"/>
  <c r="F2" i="8"/>
  <c r="E2" i="8"/>
  <c r="D2" i="8"/>
  <c r="C2" i="8"/>
  <c r="C8" i="6"/>
  <c r="D27" i="5"/>
  <c r="AB13" i="5"/>
  <c r="AA13" i="5"/>
  <c r="Z13" i="5"/>
  <c r="Y13" i="5"/>
  <c r="X13" i="5"/>
  <c r="W13" i="5"/>
  <c r="V13" i="5"/>
  <c r="U13" i="5"/>
  <c r="T13" i="5"/>
  <c r="S13" i="5"/>
  <c r="R13" i="5"/>
  <c r="Q13" i="5"/>
  <c r="P13" i="5"/>
  <c r="O13" i="5"/>
  <c r="D13" i="5"/>
  <c r="AB12" i="5"/>
  <c r="AA12" i="5"/>
  <c r="Z12" i="5"/>
  <c r="Y12" i="5"/>
  <c r="X12" i="5"/>
  <c r="W12" i="5"/>
  <c r="V12" i="5"/>
  <c r="U12" i="5"/>
  <c r="T12" i="5"/>
  <c r="S12" i="5"/>
  <c r="R12" i="5"/>
  <c r="Q12" i="5"/>
  <c r="P12" i="5"/>
  <c r="O12" i="5"/>
  <c r="D9" i="5"/>
  <c r="F61" i="3"/>
  <c r="F60" i="3"/>
  <c r="F58" i="3"/>
  <c r="F56" i="3"/>
  <c r="F55" i="3"/>
  <c r="F53" i="3"/>
  <c r="F50" i="3"/>
  <c r="F49" i="3"/>
  <c r="F47" i="3"/>
  <c r="F46" i="3"/>
  <c r="F44" i="3"/>
  <c r="F42" i="3"/>
  <c r="F41" i="3"/>
  <c r="F37" i="3"/>
  <c r="F36" i="3"/>
  <c r="C14" i="2"/>
  <c r="G7" i="4"/>
  <c r="E7" i="4"/>
  <c r="J6" i="4"/>
  <c r="H6" i="4"/>
  <c r="E6" i="4"/>
  <c r="E14" i="4" l="1"/>
  <c r="F14" i="4"/>
  <c r="E11" i="4"/>
  <c r="F11" i="4"/>
  <c r="F12" i="4"/>
  <c r="E12" i="4"/>
  <c r="F13" i="4"/>
  <c r="E15" i="4"/>
  <c r="F15" i="4"/>
  <c r="F17" i="4"/>
  <c r="E16" i="4"/>
  <c r="F16" i="4"/>
  <c r="F9" i="4"/>
  <c r="I8" i="4"/>
  <c r="E8" i="4"/>
  <c r="G12" i="5"/>
  <c r="K12" i="5"/>
  <c r="L12" i="5"/>
  <c r="J12" i="5"/>
  <c r="M12" i="5"/>
  <c r="N12" i="5"/>
  <c r="H12" i="5"/>
  <c r="I12" i="5"/>
  <c r="K15" i="8"/>
  <c r="F13" i="5"/>
  <c r="K16" i="8"/>
  <c r="G13" i="5"/>
  <c r="K17" i="8"/>
  <c r="H13" i="5"/>
  <c r="K18" i="8"/>
  <c r="I13" i="5"/>
  <c r="K19" i="8"/>
  <c r="J13" i="5"/>
  <c r="K20" i="8"/>
  <c r="K13" i="5"/>
  <c r="K21" i="8"/>
  <c r="L13" i="5"/>
  <c r="K22" i="8"/>
  <c r="M13" i="5"/>
  <c r="K23" i="8"/>
  <c r="N13" i="5"/>
  <c r="K14" i="8"/>
  <c r="E13" i="5"/>
  <c r="AE5" i="8"/>
  <c r="AD5" i="8"/>
  <c r="AC5" i="8"/>
  <c r="AB5" i="8"/>
  <c r="AA5" i="8"/>
  <c r="Z5" i="8"/>
  <c r="Y5" i="8"/>
  <c r="X5" i="8"/>
  <c r="W5" i="8"/>
  <c r="V5" i="8"/>
  <c r="U5" i="8"/>
  <c r="T5" i="8"/>
  <c r="S5" i="8"/>
  <c r="R5" i="8"/>
  <c r="Q5" i="8"/>
  <c r="P5" i="8"/>
  <c r="O5" i="8"/>
  <c r="N5" i="8"/>
  <c r="M5" i="8"/>
  <c r="D12" i="5"/>
  <c r="F63" i="3"/>
  <c r="F12" i="5"/>
  <c r="H7" i="4"/>
  <c r="AC13" i="3"/>
  <c r="AC12" i="3"/>
  <c r="AC11" i="3"/>
  <c r="J8" i="4" l="1"/>
  <c r="C9" i="4" s="1"/>
  <c r="I9" i="4" s="1"/>
  <c r="M15" i="8"/>
  <c r="L15" i="8"/>
  <c r="AC13" i="5"/>
  <c r="M16" i="8"/>
  <c r="L16" i="8"/>
  <c r="M17" i="8"/>
  <c r="L17" i="8"/>
  <c r="M18" i="8"/>
  <c r="L18" i="8"/>
  <c r="M14" i="8"/>
  <c r="L14" i="8"/>
  <c r="M19" i="8"/>
  <c r="L19" i="8"/>
  <c r="M20" i="8"/>
  <c r="L20" i="8"/>
  <c r="M21" i="8"/>
  <c r="L21" i="8"/>
  <c r="M22" i="8"/>
  <c r="L22" i="8"/>
  <c r="M23" i="8"/>
  <c r="L23" i="8"/>
  <c r="E12" i="5"/>
  <c r="AC12" i="5" s="1"/>
  <c r="C15" i="2"/>
  <c r="J9" i="4" l="1"/>
  <c r="C10" i="4"/>
  <c r="I10" i="4" s="1"/>
  <c r="J10" i="4" l="1"/>
  <c r="C11" i="4" s="1"/>
  <c r="I11" i="4" s="1"/>
  <c r="J11" i="4" l="1"/>
  <c r="C12" i="4"/>
  <c r="I12" i="4" s="1"/>
  <c r="J12" i="4" l="1"/>
  <c r="C13" i="4" s="1"/>
  <c r="I13" i="4" s="1"/>
  <c r="J13" i="4" l="1"/>
  <c r="C14" i="4" s="1"/>
  <c r="I14" i="4" s="1"/>
  <c r="J14" i="4" l="1"/>
  <c r="C15" i="4" s="1"/>
  <c r="I15" i="4" s="1"/>
  <c r="J15" i="4" l="1"/>
  <c r="C16" i="4" s="1"/>
  <c r="I16" i="4" s="1"/>
  <c r="J16" i="4" l="1"/>
  <c r="C17" i="4" s="1"/>
  <c r="I17" i="4" s="1"/>
  <c r="AC15" i="4"/>
  <c r="M12" i="4" l="1"/>
  <c r="J17" i="4"/>
  <c r="AC16" i="4"/>
  <c r="AC17" i="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Joseph</author>
  </authors>
  <commentList>
    <comment ref="B14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Joseph:
Total Sinking Fund divided by Lot Entitlement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Joseph</author>
  </authors>
  <commentList>
    <comment ref="H4" authorId="0" shapeId="0" xr:uid="{00000000-0006-0000-0200-000001000000}">
      <text>
        <r>
          <rPr>
            <sz val="11"/>
            <color theme="1"/>
            <rFont val="Calibri"/>
            <family val="2"/>
            <scheme val="minor"/>
          </rPr>
          <t>Joseph:
This is important because the detailed report needs to show the Value ($) including CPI, at the end of each year.
Eg. In year 4 and then again in year 12</t>
        </r>
      </text>
    </comment>
  </commentList>
</comments>
</file>

<file path=xl/sharedStrings.xml><?xml version="1.0" encoding="utf-8"?>
<sst xmlns="http://schemas.openxmlformats.org/spreadsheetml/2006/main" count="547" uniqueCount="255">
  <si>
    <t>Splits - Info</t>
  </si>
  <si>
    <t>Please Select Template</t>
  </si>
  <si>
    <t>Capital Works Fund Forecast</t>
  </si>
  <si>
    <t>Contribution Splits</t>
  </si>
  <si>
    <t>shtbl1</t>
  </si>
  <si>
    <t>shtbl2</t>
  </si>
  <si>
    <t>shtbl3</t>
  </si>
  <si>
    <t>shtbl4</t>
  </si>
  <si>
    <t>shtbl5</t>
  </si>
  <si>
    <t>shtbl6</t>
  </si>
  <si>
    <t>shtbl7</t>
  </si>
  <si>
    <t>shtbl8</t>
  </si>
  <si>
    <t>shtbl9</t>
  </si>
  <si>
    <t>shtbl10</t>
  </si>
  <si>
    <t>This information needs to merge into the word template</t>
  </si>
  <si>
    <t>Current Capital Works Fund Details</t>
  </si>
  <si>
    <t>Address Line 2</t>
  </si>
  <si>
    <t>The Owners Corporation</t>
  </si>
  <si>
    <t xml:space="preserve">Address </t>
  </si>
  <si>
    <t>732-742 MILITARY RD</t>
  </si>
  <si>
    <t>MOSMAN NSW</t>
  </si>
  <si>
    <t>Building Name</t>
  </si>
  <si>
    <t>SP 82458</t>
  </si>
  <si>
    <t>Strata Plan Number</t>
  </si>
  <si>
    <t>Date Strata Plan Registered</t>
  </si>
  <si>
    <t>Number of Lots</t>
  </si>
  <si>
    <t>Number of Unit Entitlements</t>
  </si>
  <si>
    <t>Current Sinking Fund Balance</t>
  </si>
  <si>
    <t>Registered for GST</t>
  </si>
  <si>
    <t>Yes</t>
  </si>
  <si>
    <t xml:space="preserve">GST </t>
  </si>
  <si>
    <t>Total Sinking Fund Levy Per Annum</t>
  </si>
  <si>
    <t>Amount Currently Collected Per Lot/Per Annum</t>
  </si>
  <si>
    <t>Total Capital Works Required</t>
  </si>
  <si>
    <t>Prepared on Behalf of</t>
  </si>
  <si>
    <t>Jamesons Strata</t>
  </si>
  <si>
    <t>Date of Inspection</t>
  </si>
  <si>
    <t>Wednesday, 13 May 2026</t>
  </si>
  <si>
    <t xml:space="preserve">Weather Condition </t>
  </si>
  <si>
    <t>Clear</t>
  </si>
  <si>
    <t>Prepared By</t>
  </si>
  <si>
    <t xml:space="preserve">Joseph Bechara </t>
  </si>
  <si>
    <t>Variables</t>
  </si>
  <si>
    <t>Financial Year Start Date</t>
  </si>
  <si>
    <t>Assumed Rate of Return</t>
  </si>
  <si>
    <t>Projection Years for Capital Works</t>
  </si>
  <si>
    <t>Inflation</t>
  </si>
  <si>
    <t>Contingency Allowance</t>
  </si>
  <si>
    <t>Fields Used for Drop Down Boxes - Do not Delete -- Can add on</t>
  </si>
  <si>
    <t>Bay Strata</t>
  </si>
  <si>
    <t>C.F Strata Management</t>
  </si>
  <si>
    <t>No</t>
  </si>
  <si>
    <t>Conti Strata</t>
  </si>
  <si>
    <t>Eastern Star Strata</t>
  </si>
  <si>
    <t>Fabos Strata</t>
  </si>
  <si>
    <t>Hill Strata Solutions</t>
  </si>
  <si>
    <t>Illawarra Strata</t>
  </si>
  <si>
    <t>Kooper &amp; Levi</t>
  </si>
  <si>
    <t>Premium Strata</t>
  </si>
  <si>
    <t>Strata Only</t>
  </si>
  <si>
    <t>Strata Sense</t>
  </si>
  <si>
    <t>Strathfield Partners</t>
  </si>
  <si>
    <t>Vital Strata</t>
  </si>
  <si>
    <t>Whelan Property</t>
  </si>
  <si>
    <t>Wollongong Strata</t>
  </si>
  <si>
    <t>Net Strata</t>
  </si>
  <si>
    <t>MY StrataCare</t>
  </si>
  <si>
    <t>Just add new strata companies below the current ones, it will pull them</t>
  </si>
  <si>
    <t>Items</t>
  </si>
  <si>
    <t>Scope</t>
  </si>
  <si>
    <t>Qty</t>
  </si>
  <si>
    <t>Unit</t>
  </si>
  <si>
    <t>Rate per unit ($)</t>
  </si>
  <si>
    <t>Value ($)</t>
  </si>
  <si>
    <t>Next Due</t>
  </si>
  <si>
    <t>Total Life</t>
  </si>
  <si>
    <t>Future Value of total amount required</t>
  </si>
  <si>
    <t>(A)</t>
  </si>
  <si>
    <t>(B)</t>
  </si>
  <si>
    <t>(C)</t>
  </si>
  <si>
    <t>(D) = (A) X (C)</t>
  </si>
  <si>
    <t>Structural components</t>
  </si>
  <si>
    <t>Repair and treatment of rendered fasade</t>
  </si>
  <si>
    <t>m2</t>
  </si>
  <si>
    <t>Brick and mortar repairs to front fasade</t>
  </si>
  <si>
    <t>m3</t>
  </si>
  <si>
    <t>Exterior materials and finishes</t>
  </si>
  <si>
    <t>Delete Row?</t>
  </si>
  <si>
    <t>Repaint façades / hard surfaces (Approx. 2212 m2) schedule for repainting every 3 years</t>
  </si>
  <si>
    <t>Repaint external timber hardwood slats to rear courtyard gates</t>
  </si>
  <si>
    <t>Repaint external balcony soffits / slab edges (Approx. 175 m2)</t>
  </si>
  <si>
    <t>Repaint internal stairwell walls / ceilings (Approx. 288 m2)</t>
  </si>
  <si>
    <t>l/m</t>
  </si>
  <si>
    <t>Repaint internal doors and frames</t>
  </si>
  <si>
    <t xml:space="preserve">Maintain glass/ powderocated internal balustrades to staircase </t>
  </si>
  <si>
    <t>Carpet and underlay replacement (Approx 239 m2)</t>
  </si>
  <si>
    <t>lm</t>
  </si>
  <si>
    <t>Doors and windows</t>
  </si>
  <si>
    <t>Door frame / jamb replacement as needed</t>
  </si>
  <si>
    <t>Door and window hardware</t>
  </si>
  <si>
    <t>Roofing</t>
  </si>
  <si>
    <t>Maintain metal roof / cappings and flashings</t>
  </si>
  <si>
    <t>Flashings to roof mounted exhausts - repair as needed</t>
  </si>
  <si>
    <t>Liquid membrane  isolated repairs</t>
  </si>
  <si>
    <t>item</t>
  </si>
  <si>
    <t>Maintain glass roof and seals above centre stairwell</t>
  </si>
  <si>
    <t>Roof condition assessment and reports</t>
  </si>
  <si>
    <t>Electrical system</t>
  </si>
  <si>
    <t>Emergency and exit lighting system replacement</t>
  </si>
  <si>
    <t>Lighting to common areas - upgrades as needed</t>
  </si>
  <si>
    <t>Plumbing system</t>
  </si>
  <si>
    <t>Hot water systems - Rheem Gas Heater Tanks x 8</t>
  </si>
  <si>
    <t>Hot water systems - dual circulator pumps</t>
  </si>
  <si>
    <t>m4</t>
  </si>
  <si>
    <t>Control panels to Sewer/Stormwater Sub-Soil Submersible Pumps</t>
  </si>
  <si>
    <t>ea</t>
  </si>
  <si>
    <t>Replace sump pumps - stormwater</t>
  </si>
  <si>
    <t>Replace sump pumps - sewer</t>
  </si>
  <si>
    <t>Heating ventilation and air conditioning (HVAC)</t>
  </si>
  <si>
    <t>Mechanical exhaust - supply/extraction plant</t>
  </si>
  <si>
    <t>Replacement of ductwork serving common areas to residential entity only</t>
  </si>
  <si>
    <t>Fire safety systems</t>
  </si>
  <si>
    <t>Elevators, escalators and travelators</t>
  </si>
  <si>
    <t>Technology and communication</t>
  </si>
  <si>
    <t>Intercom system replacement or major upgrade</t>
  </si>
  <si>
    <t>Building access control system upgrades</t>
  </si>
  <si>
    <t>Security alarms</t>
  </si>
  <si>
    <t>Replacement of CCTV camera security systems</t>
  </si>
  <si>
    <t>Accessibility infrastructure</t>
  </si>
  <si>
    <t>Repaint of epoxy non slip flooring</t>
  </si>
  <si>
    <t>Accessibility - self closing door motors / sensors</t>
  </si>
  <si>
    <t>Landscaping and exterior elements</t>
  </si>
  <si>
    <t>Rooftop planter boxes - membrane isolated repairs</t>
  </si>
  <si>
    <t xml:space="preserve">Boundary walls / access gates </t>
  </si>
  <si>
    <t>Amenities and facilitates</t>
  </si>
  <si>
    <t>Furnishings and fixtures</t>
  </si>
  <si>
    <t>Bin room - 50 litre hot water tank</t>
  </si>
  <si>
    <t>Car Parking areas components</t>
  </si>
  <si>
    <t>Repainting of line marking</t>
  </si>
  <si>
    <t>Repaint doors and frames to plant rooms</t>
  </si>
  <si>
    <t>Waterproofing systems</t>
  </si>
  <si>
    <t>Balcony waterproofing replacement works</t>
  </si>
  <si>
    <t>other category (specify)</t>
  </si>
  <si>
    <t>Sustainability infrastructure upgrades</t>
  </si>
  <si>
    <t>Specialist reports required as per DPBA</t>
  </si>
  <si>
    <t>Total Estimated Yearly Expenses With 3% CPI - Includes GST</t>
  </si>
  <si>
    <t>Subtotal</t>
  </si>
  <si>
    <t>Please Delete Column</t>
  </si>
  <si>
    <t>IMPORTANT: THIS PAGE IS AUTO_GENERATE BY CODE. THE CODE IS STRUCTURE SENSITIVE. ANY MODIFICATION COULD CAUSE MALFUNCTION</t>
  </si>
  <si>
    <t>Year</t>
  </si>
  <si>
    <t>Year Ending</t>
  </si>
  <si>
    <t>Opening Balance</t>
  </si>
  <si>
    <t>Recommended Contribution</t>
  </si>
  <si>
    <t>Contribution Per Lot</t>
  </si>
  <si>
    <t>Contribution Increase Rate</t>
  </si>
  <si>
    <t>Expenses</t>
  </si>
  <si>
    <t>Closing Balance</t>
  </si>
  <si>
    <t>Interest</t>
  </si>
  <si>
    <t>Grand Total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</si>
  <si>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</si>
  <si>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</si>
  <si>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</si>
  <si>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</si>
  <si>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</si>
  <si>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</si>
  <si>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</si>
  <si>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</si>
  <si>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</si>
  <si>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</si>
  <si>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</si>
  <si>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I+J</t>
  </si>
  <si>
    <t>C+D-G-H</t>
  </si>
  <si>
    <t>Current</t>
  </si>
  <si>
    <t>Closing Balance Goal</t>
  </si>
  <si>
    <t>Average Closing Balance</t>
  </si>
  <si>
    <t>Recommendation Contribution</t>
  </si>
  <si>
    <t xml:space="preserve">This information is taken from Future Value Calculator page - Summary of total required in any given year </t>
  </si>
  <si>
    <t>Current Years</t>
  </si>
  <si>
    <t>Year 1</t>
  </si>
  <si>
    <t>Year 2</t>
  </si>
  <si>
    <t>Year 3</t>
  </si>
  <si>
    <t>Year 4</t>
  </si>
  <si>
    <t>Year 5</t>
  </si>
  <si>
    <t>Year 6</t>
  </si>
  <si>
    <t>Year 7</t>
  </si>
  <si>
    <t>Year 8</t>
  </si>
  <si>
    <t>Year 9</t>
  </si>
  <si>
    <t>Year 10</t>
  </si>
  <si>
    <t>Current Balance</t>
  </si>
  <si>
    <t>Difference Required</t>
  </si>
  <si>
    <t>Proposed Levy Per Lot Entitlement</t>
  </si>
  <si>
    <t xml:space="preserve">Total levy Require for Strata Plan </t>
  </si>
  <si>
    <t>C+D-G-I</t>
  </si>
  <si>
    <t xml:space="preserve">The goal of this spreadsheet is to find the FUTURE VALUE (FV) for your projections. </t>
  </si>
  <si>
    <t>You will need these variables when computing your projections</t>
  </si>
  <si>
    <t>Present value</t>
  </si>
  <si>
    <t>This table has already been formulated - can you please check to ensure that it considers the cost of each item, including CPI, in any given year</t>
  </si>
  <si>
    <t>CPI</t>
  </si>
  <si>
    <t>Term (years)</t>
  </si>
  <si>
    <t>Compounding periods a year</t>
  </si>
  <si>
    <t xml:space="preserve">eg. Painting building exterior is due in 4 years time, we need $38732.74 to show up in year 4 in the word document. All columns which have a nil value are not to transfer across. </t>
  </si>
  <si>
    <t>so, the cost of painting building exterior should show in year 4 $38732.74 and then again in year 12 $401,275. all other years for this particular item should show up with a nil value in word</t>
  </si>
  <si>
    <t>Compounding period</t>
  </si>
  <si>
    <t>Expenditure Item</t>
  </si>
  <si>
    <t>Present Value</t>
  </si>
  <si>
    <t>Total</t>
  </si>
  <si>
    <t>Enter Sheet Name</t>
  </si>
  <si>
    <t>Residential Stratum</t>
  </si>
  <si>
    <t>Commercial Stratum</t>
  </si>
  <si>
    <t>Total Combined Expenses</t>
  </si>
  <si>
    <t>Present Total Cost Over 10 Years</t>
  </si>
  <si>
    <t>Recommended Contributions</t>
  </si>
  <si>
    <t>Building exterior</t>
  </si>
  <si>
    <t>Roof</t>
  </si>
  <si>
    <t>Stairwells 13-19 &amp; 15-22</t>
  </si>
  <si>
    <t>Basement and Driveway</t>
  </si>
  <si>
    <t>Fences , gates and fittings to common property</t>
  </si>
  <si>
    <t>TEST</t>
  </si>
  <si>
    <t>Average</t>
  </si>
  <si>
    <t>Name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</si>
  <si>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</si>
  <si>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</si>
  <si>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</si>
  <si>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</si>
  <si>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</si>
  <si>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</si>
  <si>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</si>
  <si>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</si>
  <si>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</si>
  <si>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</si>
  <si>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Repaint building exterior &amp; sections of rendered façade</t>
  </si>
  <si>
    <t>Repaint balcony ceilings and roof eaves lining</t>
  </si>
  <si>
    <t>Repaint porch ceilings and FC sheeting above townhouse doors</t>
  </si>
  <si>
    <t>Repair sections of metal fascia and gutter as required (total 362 lm-10%)</t>
  </si>
  <si>
    <t>Repaint steel beams to garages</t>
  </si>
  <si>
    <t>Check and repair window hardware and sliding doors</t>
  </si>
  <si>
    <t>Repaint door face – one side to townhouses</t>
  </si>
  <si>
    <t>Repaint powdercoated balcony balustrades</t>
  </si>
  <si>
    <t>Plumbing and drainage maintenance to apartments and townhouses</t>
  </si>
  <si>
    <t>General building maintenance to apartments and townhouses</t>
  </si>
  <si>
    <t>Maintain concrete roof tiles (total 1892 m2 - 10%)</t>
  </si>
  <si>
    <t>Roof flashing maintenance &amp; replacement programme as required</t>
  </si>
  <si>
    <t>Repaint ceilings</t>
  </si>
  <si>
    <t>Repaint walls</t>
  </si>
  <si>
    <t>Repaint doors and metal door jamb</t>
  </si>
  <si>
    <t>Replacement of black non slip velcro strips to entry terracotta steps</t>
  </si>
  <si>
    <t>Repaint and reseal sections of stencil coloured driveway</t>
  </si>
  <si>
    <t>Replacement of motor to basement entry gate</t>
  </si>
  <si>
    <t>Repaint electrical, water meter and other service doors</t>
  </si>
  <si>
    <t xml:space="preserve">Replacement of stormwater sump pumps and control panel </t>
  </si>
  <si>
    <t>Repair of garages and motors as required</t>
  </si>
  <si>
    <t>Replacement of clotheslines</t>
  </si>
  <si>
    <t>Replacement of notice board</t>
  </si>
  <si>
    <t>Repair of boundary colorbond/paling fence and gates</t>
  </si>
  <si>
    <t>Repair of entry driveway paling fence (50% shared costs)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</si>
</sst>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7" formatCode="&quot;$&quot;#,##0.00;\-&quot;$&quot;#,##0.00"/>
    <numFmt numFmtId="8" formatCode="&quot;$&quot;#,##0.00;[Red]\-&quot;$&quot;#,##0.00"/>
    <numFmt numFmtId="44" formatCode="_-&quot;$&quot;* #,##0.00_-;\-&quot;$&quot;* #,##0.00_-;_-&quot;$&quot;* &quot;-&quot;??_-;_-@_-"/>
    <numFmt numFmtId="164" formatCode="_(&quot;$&quot;* #,##0.00_);_(&quot;$&quot;* \(#,##0.00\);_(&quot;$&quot;* &quot;-&quot;??_);_(@_)"/>
    <numFmt numFmtId="165" formatCode="0.0%"/>
    <numFmt numFmtId="166" formatCode="&quot;$&quot;#,##0.00"/>
    <numFmt numFmtId="167" formatCode="d/mm/yyyy;@"/>
    <numFmt numFmtId="168" formatCode="&quot;$&quot;#,##0"/>
    <numFmt numFmtId="169" formatCode="dddd\,\ dd\ mmmm\ yyyy"/>
  </numFmts>
  <fonts count="3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theme="1"/>
      <name val="Calibri"/>
      <family val="2"/>
    </font>
    <font>
      <b/>
      <sz val="11"/>
      <color rgb="FFFF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FF0000"/>
      <name val="Times New Roman"/>
      <family val="1"/>
    </font>
    <font>
      <sz val="12"/>
      <color theme="1"/>
      <name val="Calibri"/>
      <family val="2"/>
      <scheme val="minor"/>
    </font>
    <font>
      <b/>
      <sz val="12"/>
      <color rgb="FF000000"/>
      <name val="Times New Roman"/>
      <family val="1"/>
    </font>
    <font>
      <sz val="12"/>
      <color rgb="FF000000"/>
      <name val="Times New Roman"/>
      <family val="1"/>
    </font>
    <font>
      <b/>
      <u/>
      <sz val="12"/>
      <color rgb="FF000000"/>
      <name val="Times New Roman"/>
      <family val="1"/>
    </font>
    <font>
      <sz val="12"/>
      <color rgb="FFFF0000"/>
      <name val="Calibri"/>
      <family val="2"/>
      <scheme val="minor"/>
    </font>
    <font>
      <b/>
      <u/>
      <sz val="12"/>
      <color rgb="FFFF0000"/>
      <name val="Times New Roman"/>
      <family val="1"/>
    </font>
    <font>
      <sz val="8"/>
      <color theme="1"/>
      <name val="Calibri"/>
      <family val="2"/>
      <charset val="204"/>
      <scheme val="minor"/>
    </font>
    <font>
      <sz val="10"/>
      <color rgb="FF000000"/>
      <name val="Courier"/>
    </font>
    <font>
      <u/>
      <sz val="11"/>
      <color theme="1"/>
      <name val="Calibri"/>
      <family val="2"/>
      <scheme val="minor"/>
    </font>
    <font>
      <b/>
      <sz val="12"/>
      <color rgb="FFFFFFFF"/>
      <name val="Calibri"/>
      <family val="2"/>
    </font>
    <font>
      <sz val="11"/>
      <color rgb="FF595959"/>
      <name val="Calibri"/>
      <family val="2"/>
    </font>
    <font>
      <sz val="9"/>
      <color rgb="FF595959"/>
      <name val="Calibri"/>
      <family val="2"/>
    </font>
    <font>
      <b/>
      <sz val="11"/>
      <color rgb="FFFFFFFF"/>
      <name val="Calibri"/>
      <family val="2"/>
    </font>
    <font>
      <sz val="10"/>
      <color rgb="FF595959"/>
      <name val="Calibri"/>
      <family val="2"/>
    </font>
    <font>
      <b/>
      <sz val="11"/>
      <color rgb="FF22487F"/>
      <name val="Calibri"/>
      <family val="2"/>
    </font>
    <font>
      <sz val="11"/>
      <color rgb="FF000000"/>
      <name val="Calibri"/>
      <family val="2"/>
    </font>
    <font>
      <i/>
      <sz val="10"/>
      <color rgb="FFFFFFFF"/>
      <name val="Calibri"/>
      <family val="2"/>
    </font>
    <font>
      <b/>
      <sz val="10"/>
      <color rgb="FF7F0000"/>
      <name val="Calibri"/>
      <family val="2"/>
    </font>
    <font>
      <b/>
      <sz val="11"/>
      <color rgb="FF000000"/>
      <name val="Calibri"/>
      <family val="2"/>
    </font>
    <font>
      <sz val="12"/>
      <color rgb="FF000000"/>
      <name val="Calibri"/>
      <family val="2"/>
    </font>
    <font>
      <b/>
      <u/>
      <sz val="11"/>
      <color rgb="FFFFFFFF"/>
      <name val="Calibri"/>
      <family val="2"/>
    </font>
    <font>
      <u/>
      <sz val="11"/>
      <color rgb="FFFFFFFF"/>
      <name val="Calibri"/>
      <family val="2"/>
    </font>
  </fonts>
  <fills count="21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22487F"/>
      </patternFill>
    </fill>
    <fill>
      <patternFill patternType="solid">
        <fgColor rgb="FFF2F7FD"/>
      </patternFill>
    </fill>
    <fill>
      <patternFill patternType="solid">
        <fgColor rgb="FFD6E4F0"/>
      </patternFill>
    </fill>
    <fill>
      <patternFill patternType="solid">
        <fgColor rgb="FFEAF0FA"/>
      </patternFill>
    </fill>
    <fill>
      <patternFill patternType="solid">
        <fgColor rgb="FFFFFFFF"/>
      </patternFill>
    </fill>
    <fill>
      <patternFill patternType="solid">
        <fgColor rgb="FF3D86C8"/>
      </patternFill>
    </fill>
    <fill>
      <patternFill patternType="solid">
        <fgColor rgb="FF2E60A8"/>
      </patternFill>
    </fill>
    <fill>
      <patternFill patternType="solid">
        <fgColor rgb="FFEAF2FB"/>
      </patternFill>
    </fill>
    <fill>
      <patternFill patternType="solid">
        <fgColor rgb="FFFFF2CC"/>
      </patternFill>
    </fill>
    <fill>
      <patternFill patternType="solid">
        <fgColor theme="0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22487F"/>
      </left>
      <right style="medium">
        <color rgb="FF22487F"/>
      </right>
      <top style="medium">
        <color rgb="FF22487F"/>
      </top>
      <bottom style="medium">
        <color rgb="FF22487F"/>
      </bottom>
      <diagonal/>
    </border>
    <border>
      <left style="thin">
        <color rgb="FFB0C4DE"/>
      </left>
      <right style="thin">
        <color rgb="FFB0C4DE"/>
      </right>
      <top style="thin">
        <color rgb="FFB0C4DE"/>
      </top>
      <bottom style="thin">
        <color rgb="FFB0C4DE"/>
      </bottom>
      <diagonal/>
    </border>
    <border>
      <left/>
      <right style="thin">
        <color rgb="FFB0C4DE"/>
      </right>
      <top style="thin">
        <color rgb="FFB0C4DE"/>
      </top>
      <bottom style="thin">
        <color rgb="FFB0C4DE"/>
      </bottom>
      <diagonal/>
    </border>
    <border>
      <left style="thin">
        <color rgb="FFB0C4DE"/>
      </left>
      <right style="thin">
        <color rgb="FFB0C4DE"/>
      </right>
      <top style="thin">
        <color rgb="FFB0C4DE"/>
      </top>
      <bottom/>
      <diagonal/>
    </border>
    <border>
      <left style="thin">
        <color rgb="FFB0C4DE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0C4DE"/>
      </left>
      <right/>
      <top style="thin">
        <color indexed="64"/>
      </top>
      <bottom style="double">
        <color indexed="64"/>
      </bottom>
      <diagonal/>
    </border>
  </borders>
  <cellStyleXfs count="5">
    <xf numFmtId="0" fontId="0" fillId="0" borderId="0"/>
    <xf numFmtId="164" fontId="1" fillId="0" borderId="0"/>
    <xf numFmtId="9" fontId="1" fillId="0" borderId="0"/>
    <xf numFmtId="0" fontId="2" fillId="2" borderId="0"/>
    <xf numFmtId="0" fontId="3" fillId="3" borderId="1"/>
  </cellStyleXfs>
  <cellXfs count="161">
    <xf numFmtId="0" fontId="0" fillId="0" borderId="0" xfId="0"/>
    <xf numFmtId="0" fontId="0" fillId="0" borderId="0" xfId="0" applyAlignment="1">
      <alignment horizontal="left" vertical="top"/>
    </xf>
    <xf numFmtId="0" fontId="6" fillId="0" borderId="0" xfId="0" applyFont="1" applyAlignment="1">
      <alignment horizontal="left" vertical="top"/>
    </xf>
    <xf numFmtId="0" fontId="8" fillId="0" borderId="0" xfId="0" applyFont="1" applyAlignment="1">
      <alignment horizontal="left" vertical="top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top"/>
    </xf>
    <xf numFmtId="166" fontId="0" fillId="0" borderId="0" xfId="0" applyNumberFormat="1"/>
    <xf numFmtId="166" fontId="0" fillId="0" borderId="0" xfId="0" applyNumberFormat="1" applyAlignment="1">
      <alignment horizontal="right"/>
    </xf>
    <xf numFmtId="0" fontId="7" fillId="4" borderId="0" xfId="0" applyFont="1" applyFill="1" applyAlignment="1">
      <alignment horizontal="center"/>
    </xf>
    <xf numFmtId="166" fontId="7" fillId="4" borderId="0" xfId="0" applyNumberFormat="1" applyFont="1" applyFill="1"/>
    <xf numFmtId="0" fontId="7" fillId="4" borderId="0" xfId="0" applyFont="1" applyFill="1"/>
    <xf numFmtId="166" fontId="7" fillId="4" borderId="0" xfId="0" applyNumberFormat="1" applyFont="1" applyFill="1" applyAlignment="1">
      <alignment horizontal="right"/>
    </xf>
    <xf numFmtId="0" fontId="0" fillId="0" borderId="0" xfId="0" applyAlignment="1">
      <alignment horizontal="center" vertical="top" wrapText="1"/>
    </xf>
    <xf numFmtId="0" fontId="11" fillId="0" borderId="0" xfId="0" applyFont="1" applyAlignment="1">
      <alignment horizontal="left" vertical="top"/>
    </xf>
    <xf numFmtId="8" fontId="0" fillId="0" borderId="0" xfId="0" applyNumberFormat="1" applyAlignment="1">
      <alignment horizontal="left" vertical="top"/>
    </xf>
    <xf numFmtId="44" fontId="12" fillId="0" borderId="0" xfId="0" applyNumberFormat="1" applyFont="1" applyAlignment="1">
      <alignment horizontal="left" vertical="top"/>
    </xf>
    <xf numFmtId="0" fontId="13" fillId="0" borderId="0" xfId="0" applyFont="1" applyAlignment="1">
      <alignment horizontal="left" vertical="top"/>
    </xf>
    <xf numFmtId="0" fontId="12" fillId="0" borderId="0" xfId="0" applyFont="1" applyAlignment="1">
      <alignment horizontal="left" vertical="top"/>
    </xf>
    <xf numFmtId="8" fontId="13" fillId="0" borderId="0" xfId="0" applyNumberFormat="1" applyFont="1" applyAlignment="1">
      <alignment horizontal="left" vertical="top"/>
    </xf>
    <xf numFmtId="0" fontId="14" fillId="0" borderId="0" xfId="0" applyFont="1" applyAlignment="1">
      <alignment horizontal="left" vertical="top"/>
    </xf>
    <xf numFmtId="0" fontId="13" fillId="0" borderId="0" xfId="0" applyFont="1" applyAlignment="1">
      <alignment horizontal="center"/>
    </xf>
    <xf numFmtId="164" fontId="13" fillId="0" borderId="0" xfId="0" applyNumberFormat="1" applyFont="1" applyAlignment="1">
      <alignment horizontal="left" vertical="top"/>
    </xf>
    <xf numFmtId="10" fontId="13" fillId="0" borderId="0" xfId="0" applyNumberFormat="1" applyFont="1" applyAlignment="1">
      <alignment horizontal="center"/>
    </xf>
    <xf numFmtId="167" fontId="13" fillId="0" borderId="0" xfId="0" applyNumberFormat="1" applyFont="1" applyAlignment="1">
      <alignment horizontal="center"/>
    </xf>
    <xf numFmtId="0" fontId="13" fillId="0" borderId="0" xfId="0" applyFont="1" applyAlignment="1">
      <alignment horizontal="center" vertical="top" wrapText="1"/>
    </xf>
    <xf numFmtId="166" fontId="8" fillId="0" borderId="0" xfId="0" applyNumberFormat="1" applyFont="1" applyAlignment="1">
      <alignment horizontal="left" vertical="top"/>
    </xf>
    <xf numFmtId="166" fontId="4" fillId="0" borderId="0" xfId="0" applyNumberFormat="1" applyFont="1" applyAlignment="1">
      <alignment horizontal="left" vertical="top"/>
    </xf>
    <xf numFmtId="0" fontId="4" fillId="0" borderId="0" xfId="0" applyFont="1" applyAlignment="1">
      <alignment horizontal="left" vertical="top"/>
    </xf>
    <xf numFmtId="0" fontId="8" fillId="0" borderId="0" xfId="0" applyFont="1" applyAlignment="1">
      <alignment horizontal="center" vertical="top"/>
    </xf>
    <xf numFmtId="0" fontId="10" fillId="0" borderId="0" xfId="0" applyFont="1" applyAlignment="1">
      <alignment horizontal="left" vertical="top"/>
    </xf>
    <xf numFmtId="10" fontId="8" fillId="0" borderId="0" xfId="0" applyNumberFormat="1" applyFont="1" applyAlignment="1">
      <alignment horizontal="left" vertical="top"/>
    </xf>
    <xf numFmtId="1" fontId="8" fillId="0" borderId="0" xfId="0" applyNumberFormat="1" applyFont="1" applyAlignment="1">
      <alignment horizontal="left" vertical="top"/>
    </xf>
    <xf numFmtId="168" fontId="0" fillId="0" borderId="0" xfId="0" applyNumberFormat="1" applyAlignment="1">
      <alignment horizontal="left"/>
    </xf>
    <xf numFmtId="0" fontId="5" fillId="0" borderId="0" xfId="0" applyFont="1" applyAlignment="1">
      <alignment horizontal="left"/>
    </xf>
    <xf numFmtId="10" fontId="0" fillId="0" borderId="0" xfId="0" applyNumberFormat="1"/>
    <xf numFmtId="0" fontId="15" fillId="0" borderId="0" xfId="0" applyFont="1" applyAlignment="1">
      <alignment horizontal="left" vertical="top"/>
    </xf>
    <xf numFmtId="0" fontId="16" fillId="0" borderId="0" xfId="0" applyFont="1" applyAlignment="1">
      <alignment horizontal="left" vertical="top"/>
    </xf>
    <xf numFmtId="44" fontId="12" fillId="0" borderId="0" xfId="1" applyNumberFormat="1" applyFont="1" applyAlignment="1">
      <alignment horizontal="left" vertical="top"/>
    </xf>
    <xf numFmtId="0" fontId="15" fillId="0" borderId="0" xfId="0" applyFont="1" applyAlignment="1">
      <alignment horizontal="right" vertical="top"/>
    </xf>
    <xf numFmtId="44" fontId="15" fillId="0" borderId="0" xfId="1" applyNumberFormat="1" applyFont="1" applyAlignment="1">
      <alignment horizontal="right" vertical="top"/>
    </xf>
    <xf numFmtId="168" fontId="0" fillId="0" borderId="0" xfId="0" applyNumberFormat="1"/>
    <xf numFmtId="165" fontId="15" fillId="0" borderId="0" xfId="2" applyNumberFormat="1" applyFont="1" applyAlignment="1">
      <alignment horizontal="left" vertical="top"/>
    </xf>
    <xf numFmtId="0" fontId="17" fillId="0" borderId="0" xfId="0" applyFont="1" applyAlignment="1">
      <alignment horizontal="left" vertical="top"/>
    </xf>
    <xf numFmtId="0" fontId="18" fillId="0" borderId="0" xfId="0" applyFont="1" applyAlignment="1">
      <alignment horizontal="left" vertical="top"/>
    </xf>
    <xf numFmtId="167" fontId="15" fillId="0" borderId="0" xfId="0" applyNumberFormat="1" applyFont="1" applyAlignment="1">
      <alignment horizontal="left" vertical="top"/>
    </xf>
    <xf numFmtId="1" fontId="15" fillId="0" borderId="0" xfId="0" applyNumberFormat="1" applyFont="1" applyAlignment="1">
      <alignment horizontal="left" vertical="top"/>
    </xf>
    <xf numFmtId="166" fontId="0" fillId="0" borderId="0" xfId="0" applyNumberFormat="1" applyAlignment="1">
      <alignment horizontal="center"/>
    </xf>
    <xf numFmtId="2" fontId="9" fillId="0" borderId="0" xfId="0" applyNumberFormat="1" applyFont="1" applyAlignment="1">
      <alignment horizontal="center" vertical="top"/>
    </xf>
    <xf numFmtId="10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 vertical="top"/>
    </xf>
    <xf numFmtId="8" fontId="0" fillId="0" borderId="0" xfId="1" applyNumberFormat="1" applyFont="1" applyAlignment="1">
      <alignment horizontal="center"/>
    </xf>
    <xf numFmtId="10" fontId="0" fillId="5" borderId="0" xfId="0" applyNumberFormat="1" applyFill="1"/>
    <xf numFmtId="10" fontId="7" fillId="5" borderId="0" xfId="0" applyNumberFormat="1" applyFont="1" applyFill="1"/>
    <xf numFmtId="0" fontId="19" fillId="0" borderId="0" xfId="0" applyFont="1" applyAlignment="1">
      <alignment horizontal="left" vertical="top"/>
    </xf>
    <xf numFmtId="7" fontId="15" fillId="0" borderId="0" xfId="1" applyNumberFormat="1" applyFont="1" applyAlignment="1">
      <alignment horizontal="right" vertical="top"/>
    </xf>
    <xf numFmtId="0" fontId="7" fillId="4" borderId="0" xfId="0" applyFont="1" applyFill="1" applyAlignment="1">
      <alignment horizontal="left" vertical="center"/>
    </xf>
    <xf numFmtId="0" fontId="0" fillId="0" borderId="0" xfId="0" applyAlignment="1">
      <alignment horizontal="left"/>
    </xf>
    <xf numFmtId="0" fontId="21" fillId="0" borderId="0" xfId="0" applyFont="1" applyAlignment="1">
      <alignment horizontal="center" vertical="center"/>
    </xf>
    <xf numFmtId="0" fontId="21" fillId="0" borderId="0" xfId="0" applyFont="1"/>
    <xf numFmtId="0" fontId="21" fillId="0" borderId="0" xfId="0" applyFont="1" applyAlignment="1">
      <alignment horizontal="left" vertical="center"/>
    </xf>
    <xf numFmtId="8" fontId="0" fillId="0" borderId="2" xfId="0" applyNumberFormat="1" applyBorder="1" applyAlignment="1">
      <alignment horizontal="center"/>
    </xf>
    <xf numFmtId="4" fontId="0" fillId="0" borderId="2" xfId="0" applyNumberFormat="1" applyBorder="1" applyAlignment="1">
      <alignment horizontal="center"/>
    </xf>
    <xf numFmtId="166" fontId="0" fillId="0" borderId="0" xfId="0" applyNumberFormat="1" applyAlignment="1">
      <alignment horizontal="center" vertical="center"/>
    </xf>
    <xf numFmtId="168" fontId="21" fillId="0" borderId="0" xfId="0" applyNumberFormat="1" applyFont="1"/>
    <xf numFmtId="168" fontId="21" fillId="0" borderId="0" xfId="0" applyNumberFormat="1" applyFont="1" applyAlignment="1">
      <alignment horizontal="center" vertical="center"/>
    </xf>
    <xf numFmtId="49" fontId="21" fillId="0" borderId="0" xfId="0" applyNumberFormat="1" applyFont="1" applyAlignment="1">
      <alignment horizontal="left" vertical="center"/>
    </xf>
    <xf numFmtId="49" fontId="21" fillId="0" borderId="0" xfId="0" applyNumberFormat="1" applyFont="1" applyAlignment="1">
      <alignment horizontal="center" vertical="center"/>
    </xf>
    <xf numFmtId="49" fontId="21" fillId="0" borderId="0" xfId="0" applyNumberFormat="1" applyFont="1"/>
    <xf numFmtId="0" fontId="22" fillId="0" borderId="0" xfId="0" applyFont="1" applyAlignment="1">
      <alignment horizontal="left" vertical="center" readingOrder="1"/>
    </xf>
    <xf numFmtId="0" fontId="0" fillId="7" borderId="0" xfId="0" applyFill="1" applyAlignment="1">
      <alignment horizontal="left" vertical="center"/>
    </xf>
    <xf numFmtId="0" fontId="0" fillId="7" borderId="0" xfId="0" applyFill="1" applyAlignment="1">
      <alignment horizontal="left"/>
    </xf>
    <xf numFmtId="0" fontId="5" fillId="7" borderId="0" xfId="0" applyFont="1" applyFill="1" applyAlignment="1">
      <alignment horizontal="left" vertical="center"/>
    </xf>
    <xf numFmtId="168" fontId="5" fillId="0" borderId="3" xfId="0" applyNumberFormat="1" applyFont="1" applyBorder="1" applyAlignment="1">
      <alignment horizontal="left"/>
    </xf>
    <xf numFmtId="0" fontId="5" fillId="0" borderId="0" xfId="0" applyFont="1"/>
    <xf numFmtId="0" fontId="23" fillId="0" borderId="0" xfId="0" applyFont="1"/>
    <xf numFmtId="168" fontId="5" fillId="0" borderId="0" xfId="0" applyNumberFormat="1" applyFont="1" applyAlignment="1">
      <alignment horizontal="left"/>
    </xf>
    <xf numFmtId="0" fontId="26" fillId="0" borderId="0" xfId="0" applyFont="1"/>
    <xf numFmtId="0" fontId="24" fillId="8" borderId="5" xfId="0" applyFont="1" applyFill="1" applyBorder="1" applyAlignment="1">
      <alignment horizontal="left" vertical="center"/>
    </xf>
    <xf numFmtId="0" fontId="25" fillId="9" borderId="0" xfId="0" applyFont="1" applyFill="1" applyAlignment="1">
      <alignment horizontal="center" vertical="center"/>
    </xf>
    <xf numFmtId="0" fontId="27" fillId="8" borderId="0" xfId="0" applyFont="1" applyFill="1" applyAlignment="1">
      <alignment horizontal="center" vertical="center"/>
    </xf>
    <xf numFmtId="0" fontId="26" fillId="9" borderId="0" xfId="0" applyFont="1" applyFill="1"/>
    <xf numFmtId="0" fontId="26" fillId="0" borderId="0" xfId="0" applyFont="1" applyAlignment="1">
      <alignment horizontal="left" vertical="top"/>
    </xf>
    <xf numFmtId="0" fontId="29" fillId="11" borderId="6" xfId="0" applyFont="1" applyFill="1" applyBorder="1" applyAlignment="1">
      <alignment horizontal="left" vertical="center" indent="1"/>
    </xf>
    <xf numFmtId="0" fontId="30" fillId="12" borderId="6" xfId="0" applyFont="1" applyFill="1" applyBorder="1" applyAlignment="1">
      <alignment horizontal="left" vertical="center" indent="1"/>
    </xf>
    <xf numFmtId="0" fontId="28" fillId="0" borderId="6" xfId="0" applyFont="1" applyBorder="1"/>
    <xf numFmtId="0" fontId="28" fillId="6" borderId="6" xfId="4" applyFont="1" applyFill="1" applyBorder="1" applyAlignment="1">
      <alignment horizontal="left" vertical="top"/>
    </xf>
    <xf numFmtId="0" fontId="28" fillId="10" borderId="6" xfId="0" applyFont="1" applyFill="1" applyBorder="1"/>
    <xf numFmtId="0" fontId="28" fillId="10" borderId="6" xfId="4" applyFont="1" applyFill="1" applyBorder="1" applyAlignment="1">
      <alignment horizontal="left" vertical="top"/>
    </xf>
    <xf numFmtId="14" fontId="30" fillId="12" borderId="6" xfId="0" applyNumberFormat="1" applyFont="1" applyFill="1" applyBorder="1" applyAlignment="1">
      <alignment horizontal="left" vertical="center" indent="1"/>
    </xf>
    <xf numFmtId="44" fontId="30" fillId="12" borderId="6" xfId="1" applyNumberFormat="1" applyFont="1" applyFill="1" applyBorder="1" applyAlignment="1">
      <alignment horizontal="left" vertical="center" indent="1"/>
    </xf>
    <xf numFmtId="44" fontId="30" fillId="12" borderId="6" xfId="0" applyNumberFormat="1" applyFont="1" applyFill="1" applyBorder="1" applyAlignment="1">
      <alignment horizontal="left" vertical="center" indent="1"/>
    </xf>
    <xf numFmtId="0" fontId="28" fillId="0" borderId="6" xfId="0" applyFont="1" applyBorder="1" applyAlignment="1">
      <alignment horizontal="left" vertical="top"/>
    </xf>
    <xf numFmtId="169" fontId="30" fillId="12" borderId="6" xfId="0" applyNumberFormat="1" applyFont="1" applyFill="1" applyBorder="1" applyAlignment="1">
      <alignment horizontal="left" vertical="center" indent="1"/>
    </xf>
    <xf numFmtId="0" fontId="30" fillId="12" borderId="6" xfId="3" applyFont="1" applyFill="1" applyBorder="1" applyAlignment="1">
      <alignment horizontal="left" vertical="center" indent="1"/>
    </xf>
    <xf numFmtId="10" fontId="30" fillId="12" borderId="6" xfId="0" applyNumberFormat="1" applyFont="1" applyFill="1" applyBorder="1" applyAlignment="1">
      <alignment horizontal="left" vertical="center" indent="1"/>
    </xf>
    <xf numFmtId="10" fontId="30" fillId="12" borderId="6" xfId="2" applyNumberFormat="1" applyFont="1" applyFill="1" applyBorder="1" applyAlignment="1">
      <alignment horizontal="left" vertical="center" indent="1"/>
    </xf>
    <xf numFmtId="165" fontId="30" fillId="12" borderId="6" xfId="2" applyNumberFormat="1" applyFont="1" applyFill="1" applyBorder="1" applyAlignment="1">
      <alignment horizontal="left" vertical="center" indent="1"/>
    </xf>
    <xf numFmtId="0" fontId="0" fillId="9" borderId="0" xfId="0" applyFill="1"/>
    <xf numFmtId="0" fontId="27" fillId="8" borderId="6" xfId="0" applyFont="1" applyFill="1" applyBorder="1" applyAlignment="1">
      <alignment horizontal="center" vertical="center" wrapText="1"/>
    </xf>
    <xf numFmtId="166" fontId="27" fillId="8" borderId="6" xfId="0" applyNumberFormat="1" applyFont="1" applyFill="1" applyBorder="1" applyAlignment="1">
      <alignment horizontal="center" vertical="center" wrapText="1"/>
    </xf>
    <xf numFmtId="0" fontId="31" fillId="13" borderId="6" xfId="0" applyFont="1" applyFill="1" applyBorder="1" applyAlignment="1">
      <alignment horizontal="center" vertical="center"/>
    </xf>
    <xf numFmtId="3" fontId="31" fillId="13" borderId="6" xfId="0" applyNumberFormat="1" applyFont="1" applyFill="1" applyBorder="1" applyAlignment="1">
      <alignment horizontal="center" vertical="center"/>
    </xf>
    <xf numFmtId="166" fontId="31" fillId="13" borderId="6" xfId="0" applyNumberFormat="1" applyFont="1" applyFill="1" applyBorder="1" applyAlignment="1">
      <alignment horizontal="center" vertical="center"/>
    </xf>
    <xf numFmtId="0" fontId="27" fillId="14" borderId="6" xfId="0" applyFont="1" applyFill="1" applyBorder="1" applyAlignment="1">
      <alignment horizontal="left" vertical="center" indent="1"/>
    </xf>
    <xf numFmtId="8" fontId="27" fillId="14" borderId="6" xfId="0" applyNumberFormat="1" applyFont="1" applyFill="1" applyBorder="1" applyAlignment="1">
      <alignment horizontal="left" vertical="center" indent="1"/>
    </xf>
    <xf numFmtId="0" fontId="28" fillId="11" borderId="6" xfId="0" applyFont="1" applyFill="1" applyBorder="1" applyAlignment="1">
      <alignment horizontal="center" vertical="center"/>
    </xf>
    <xf numFmtId="3" fontId="30" fillId="12" borderId="6" xfId="0" applyNumberFormat="1" applyFont="1" applyFill="1" applyBorder="1" applyAlignment="1">
      <alignment horizontal="center" vertical="center"/>
    </xf>
    <xf numFmtId="0" fontId="30" fillId="12" borderId="6" xfId="0" applyFont="1" applyFill="1" applyBorder="1" applyAlignment="1">
      <alignment horizontal="center" vertical="center"/>
    </xf>
    <xf numFmtId="166" fontId="30" fillId="12" borderId="6" xfId="0" applyNumberFormat="1" applyFont="1" applyFill="1" applyBorder="1" applyAlignment="1">
      <alignment horizontal="center" vertical="center"/>
    </xf>
    <xf numFmtId="0" fontId="30" fillId="15" borderId="6" xfId="0" applyFont="1" applyFill="1" applyBorder="1" applyAlignment="1">
      <alignment horizontal="left" vertical="center" indent="1"/>
    </xf>
    <xf numFmtId="3" fontId="30" fillId="15" borderId="6" xfId="0" applyNumberFormat="1" applyFont="1" applyFill="1" applyBorder="1" applyAlignment="1">
      <alignment horizontal="center" vertical="center"/>
    </xf>
    <xf numFmtId="0" fontId="30" fillId="15" borderId="6" xfId="0" applyFont="1" applyFill="1" applyBorder="1" applyAlignment="1">
      <alignment horizontal="center" vertical="center"/>
    </xf>
    <xf numFmtId="166" fontId="30" fillId="15" borderId="6" xfId="0" applyNumberFormat="1" applyFont="1" applyFill="1" applyBorder="1" applyAlignment="1">
      <alignment horizontal="center" vertical="center"/>
    </xf>
    <xf numFmtId="166" fontId="27" fillId="14" borderId="6" xfId="0" applyNumberFormat="1" applyFont="1" applyFill="1" applyBorder="1" applyAlignment="1">
      <alignment horizontal="left" vertical="center" indent="1"/>
    </xf>
    <xf numFmtId="3" fontId="27" fillId="14" borderId="6" xfId="0" applyNumberFormat="1" applyFont="1" applyFill="1" applyBorder="1" applyAlignment="1">
      <alignment horizontal="left" vertical="center" indent="1"/>
    </xf>
    <xf numFmtId="0" fontId="32" fillId="16" borderId="0" xfId="0" applyFont="1" applyFill="1" applyAlignment="1">
      <alignment horizontal="left" vertical="top"/>
    </xf>
    <xf numFmtId="10" fontId="27" fillId="8" borderId="6" xfId="0" applyNumberFormat="1" applyFont="1" applyFill="1" applyBorder="1" applyAlignment="1">
      <alignment horizontal="center" vertical="center" wrapText="1"/>
    </xf>
    <xf numFmtId="10" fontId="31" fillId="13" borderId="6" xfId="0" applyNumberFormat="1" applyFont="1" applyFill="1" applyBorder="1" applyAlignment="1">
      <alignment horizontal="center" vertical="center"/>
    </xf>
    <xf numFmtId="8" fontId="30" fillId="15" borderId="6" xfId="1" applyNumberFormat="1" applyFont="1" applyFill="1" applyBorder="1" applyAlignment="1">
      <alignment horizontal="center" vertical="center"/>
    </xf>
    <xf numFmtId="1" fontId="30" fillId="15" borderId="6" xfId="1" applyNumberFormat="1" applyFont="1" applyFill="1" applyBorder="1" applyAlignment="1">
      <alignment horizontal="center" vertical="center"/>
    </xf>
    <xf numFmtId="10" fontId="30" fillId="15" borderId="6" xfId="0" applyNumberFormat="1" applyFont="1" applyFill="1" applyBorder="1" applyAlignment="1">
      <alignment horizontal="center" vertical="center"/>
    </xf>
    <xf numFmtId="0" fontId="32" fillId="16" borderId="0" xfId="0" applyFont="1" applyFill="1"/>
    <xf numFmtId="0" fontId="30" fillId="0" borderId="0" xfId="0" applyFont="1" applyAlignment="1">
      <alignment horizontal="left" vertical="top"/>
    </xf>
    <xf numFmtId="44" fontId="30" fillId="0" borderId="0" xfId="0" applyNumberFormat="1" applyFont="1" applyAlignment="1">
      <alignment horizontal="left" vertical="top"/>
    </xf>
    <xf numFmtId="0" fontId="27" fillId="8" borderId="6" xfId="0" applyFont="1" applyFill="1" applyBorder="1" applyAlignment="1">
      <alignment horizontal="left" vertical="center" indent="1"/>
    </xf>
    <xf numFmtId="0" fontId="0" fillId="8" borderId="6" xfId="0" applyFill="1" applyBorder="1"/>
    <xf numFmtId="0" fontId="0" fillId="0" borderId="2" xfId="0" applyBorder="1" applyAlignment="1">
      <alignment horizontal="center"/>
    </xf>
    <xf numFmtId="0" fontId="30" fillId="17" borderId="6" xfId="0" applyFont="1" applyFill="1" applyBorder="1" applyAlignment="1">
      <alignment horizontal="center" vertical="center"/>
    </xf>
    <xf numFmtId="0" fontId="29" fillId="17" borderId="6" xfId="0" applyFont="1" applyFill="1" applyBorder="1" applyAlignment="1">
      <alignment horizontal="center" vertical="center"/>
    </xf>
    <xf numFmtId="0" fontId="30" fillId="12" borderId="7" xfId="0" applyFont="1" applyFill="1" applyBorder="1" applyAlignment="1">
      <alignment horizontal="center" vertical="center"/>
    </xf>
    <xf numFmtId="0" fontId="29" fillId="10" borderId="8" xfId="0" applyFont="1" applyFill="1" applyBorder="1" applyAlignment="1">
      <alignment horizontal="center" vertical="center"/>
    </xf>
    <xf numFmtId="167" fontId="29" fillId="10" borderId="8" xfId="0" applyNumberFormat="1" applyFont="1" applyFill="1" applyBorder="1" applyAlignment="1">
      <alignment horizontal="center" vertical="center"/>
    </xf>
    <xf numFmtId="166" fontId="29" fillId="10" borderId="8" xfId="0" applyNumberFormat="1" applyFont="1" applyFill="1" applyBorder="1" applyAlignment="1">
      <alignment horizontal="center" vertical="center"/>
    </xf>
    <xf numFmtId="8" fontId="29" fillId="10" borderId="8" xfId="1" applyNumberFormat="1" applyFont="1" applyFill="1" applyBorder="1" applyAlignment="1">
      <alignment horizontal="center" vertical="center"/>
    </xf>
    <xf numFmtId="2" fontId="29" fillId="10" borderId="8" xfId="0" applyNumberFormat="1" applyFont="1" applyFill="1" applyBorder="1" applyAlignment="1">
      <alignment horizontal="center" vertical="center"/>
    </xf>
    <xf numFmtId="10" fontId="29" fillId="10" borderId="8" xfId="0" applyNumberFormat="1" applyFont="1" applyFill="1" applyBorder="1" applyAlignment="1">
      <alignment horizontal="center" vertical="center"/>
    </xf>
    <xf numFmtId="0" fontId="30" fillId="17" borderId="7" xfId="0" applyFont="1" applyFill="1" applyBorder="1" applyAlignment="1">
      <alignment horizontal="center" vertical="center"/>
    </xf>
    <xf numFmtId="8" fontId="30" fillId="18" borderId="2" xfId="1" applyNumberFormat="1" applyFont="1" applyFill="1" applyBorder="1" applyAlignment="1">
      <alignment horizontal="center" vertical="center"/>
    </xf>
    <xf numFmtId="166" fontId="27" fillId="19" borderId="6" xfId="0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left" vertical="top"/>
    </xf>
    <xf numFmtId="166" fontId="33" fillId="20" borderId="6" xfId="0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/>
    </xf>
    <xf numFmtId="0" fontId="27" fillId="14" borderId="6" xfId="0" applyFont="1" applyFill="1" applyBorder="1" applyAlignment="1">
      <alignment horizontal="center" vertical="center" indent="1"/>
    </xf>
    <xf numFmtId="0" fontId="5" fillId="0" borderId="9" xfId="0" applyFont="1" applyBorder="1"/>
    <xf numFmtId="0" fontId="5" fillId="0" borderId="2" xfId="0" applyFont="1" applyBorder="1"/>
    <xf numFmtId="168" fontId="5" fillId="0" borderId="10" xfId="0" applyNumberFormat="1" applyFont="1" applyBorder="1" applyAlignment="1">
      <alignment horizontal="left"/>
    </xf>
    <xf numFmtId="0" fontId="30" fillId="0" borderId="2" xfId="0" applyFont="1" applyBorder="1" applyAlignment="1">
      <alignment horizontal="center" vertical="center"/>
    </xf>
    <xf numFmtId="167" fontId="30" fillId="0" borderId="2" xfId="0" applyNumberFormat="1" applyFont="1" applyBorder="1" applyAlignment="1">
      <alignment horizontal="center" vertical="center"/>
    </xf>
    <xf numFmtId="166" fontId="30" fillId="0" borderId="2" xfId="0" applyNumberFormat="1" applyFont="1" applyBorder="1" applyAlignment="1">
      <alignment horizontal="center" vertical="center"/>
    </xf>
    <xf numFmtId="2" fontId="30" fillId="0" borderId="2" xfId="0" applyNumberFormat="1" applyFont="1" applyBorder="1" applyAlignment="1">
      <alignment horizontal="center" vertical="center"/>
    </xf>
    <xf numFmtId="10" fontId="30" fillId="0" borderId="2" xfId="0" applyNumberFormat="1" applyFont="1" applyBorder="1" applyAlignment="1">
      <alignment horizontal="center" vertical="center"/>
    </xf>
    <xf numFmtId="166" fontId="29" fillId="0" borderId="2" xfId="0" applyNumberFormat="1" applyFont="1" applyBorder="1" applyAlignment="1">
      <alignment horizontal="center" vertical="center"/>
    </xf>
    <xf numFmtId="0" fontId="35" fillId="14" borderId="6" xfId="0" applyFont="1" applyFill="1" applyBorder="1" applyAlignment="1">
      <alignment horizontal="left" vertical="center" indent="1"/>
    </xf>
    <xf numFmtId="0" fontId="27" fillId="13" borderId="6" xfId="0" applyFont="1" applyFill="1" applyBorder="1" applyAlignment="1">
      <alignment horizontal="left" vertical="center" indent="1"/>
    </xf>
    <xf numFmtId="0" fontId="27" fillId="8" borderId="6" xfId="0" applyFont="1" applyFill="1" applyBorder="1" applyAlignment="1">
      <alignment horizontal="right" vertical="center" wrapText="1" indent="1"/>
    </xf>
    <xf numFmtId="0" fontId="0" fillId="8" borderId="6" xfId="0" applyFill="1" applyBorder="1" applyAlignment="1">
      <alignment horizontal="right" wrapText="1"/>
    </xf>
    <xf numFmtId="0" fontId="0" fillId="0" borderId="2" xfId="0" applyBorder="1" applyAlignment="1">
      <alignment horizontal="center"/>
    </xf>
    <xf numFmtId="0" fontId="0" fillId="0" borderId="4" xfId="0" applyBorder="1"/>
    <xf numFmtId="0" fontId="0" fillId="0" borderId="0" xfId="0" applyAlignment="1">
      <alignment horizontal="center"/>
    </xf>
    <xf numFmtId="0" fontId="0" fillId="0" borderId="0" xfId="0"/>
    <xf numFmtId="0" fontId="36" fillId="14" borderId="6" xfId="0" applyFont="1" applyFill="1" applyBorder="1" applyAlignment="1">
      <alignment horizontal="center" vertical="center"/>
    </xf>
  </cellXfs>
  <cellStyles count="5">
    <cellStyle name="Currency" xfId="1" builtinId="4"/>
    <cellStyle name="Input" xfId="4" builtinId="20"/>
    <cellStyle name="Neutral" xfId="3" builtinId="28"/>
    <cellStyle name="Normal" xfId="0" builtinId="0"/>
    <cellStyle name="Percent" xfId="2" builtinId="5"/>
  </cellStyles>
  <dxfs count="68"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alignment horizontal="left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30" formatCode="@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alignment horizontal="general" vertical="bottom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30" formatCode="@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alignment horizontal="left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30" formatCode="@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alignment horizontal="left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30" formatCode="@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</dxf>
    <dxf>
      <fill>
        <patternFill>
          <bgColor theme="6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4" tint="0.39994506668294322"/>
        </patternFill>
      </fill>
    </dxf>
  </dxfs>
  <tableStyles count="0" defaultTableStyle="TableStyleLight8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10/relationships/person" Target="persons/perso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autoTitleDeleted val="1"/>
    <c:plotArea>
      <c:layout/>
      <c:lineChart>
        <c:grouping val="standard"/>
        <c:varyColors val="0"/>
        <c:ser>
          <c:idx val="1"/>
          <c:order val="0"/>
          <c:tx>
            <c:strRef>
              <c:f>'Optimize Contribution'!$D$4:$D$5</c:f>
              <c:strCache>
                <c:ptCount val="2"/>
                <c:pt idx="0">
                  <c:v>Recommended Contribution</c:v>
                </c:pt>
                <c:pt idx="1">
                  <c:v>D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cat>
            <c:multiLvlStrRef>
              <c:f>'Optimize Contribution'!$A$7:$B$17</c:f>
              <c:multiLvlStrCache>
                <c:ptCount val="11"/>
                <c:lvl>
                  <c:pt idx="0">
                    <c:v>30/09/2026</c:v>
                  </c:pt>
                  <c:pt idx="1">
                    <c:v>30/09/2027</c:v>
                  </c:pt>
                  <c:pt idx="2">
                    <c:v>30/09/2028</c:v>
                  </c:pt>
                  <c:pt idx="3">
                    <c:v>30/09/2029</c:v>
                  </c:pt>
                  <c:pt idx="4">
                    <c:v>30/09/2030</c:v>
                  </c:pt>
                  <c:pt idx="5">
                    <c:v>30/09/2031</c:v>
                  </c:pt>
                  <c:pt idx="6">
                    <c:v>30/09/2032</c:v>
                  </c:pt>
                  <c:pt idx="7">
                    <c:v>30/09/2033</c:v>
                  </c:pt>
                  <c:pt idx="8">
                    <c:v>30/09/2034</c:v>
                  </c:pt>
                  <c:pt idx="9">
                    <c:v>30/09/2035</c:v>
                  </c:pt>
                  <c:pt idx="10">
                    <c:v>30/09/2036</c:v>
                  </c:pt>
                </c:lvl>
                <c:lvl>
                  <c:pt idx="0">
                    <c:v>Current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</c:lvl>
              </c:multiLvlStrCache>
            </c:multiLvlStrRef>
          </c:cat>
          <c:val>
            <c:numRef>
              <c:f>'Optimize Contribution'!$D$7:$D$17</c:f>
              <c:numCache>
                <c:formatCode>"$"#,##0.00_);[Red]\("$"#,##0.00\)</c:formatCode>
                <c:ptCount val="11"/>
                <c:pt idx="0">
                  <c:v>24681</c:v>
                </c:pt>
                <c:pt idx="1">
                  <c:v>12395.794043520373</c:v>
                </c:pt>
                <c:pt idx="2">
                  <c:v>12767.667864825984</c:v>
                </c:pt>
                <c:pt idx="3">
                  <c:v>13150.697900770763</c:v>
                </c:pt>
                <c:pt idx="4">
                  <c:v>13545.218837793886</c:v>
                </c:pt>
                <c:pt idx="5">
                  <c:v>13951.575402927701</c:v>
                </c:pt>
                <c:pt idx="6">
                  <c:v>14370.122665015531</c:v>
                </c:pt>
                <c:pt idx="7">
                  <c:v>14801.226344965999</c:v>
                </c:pt>
                <c:pt idx="8">
                  <c:v>15245.263135314979</c:v>
                </c:pt>
                <c:pt idx="9">
                  <c:v>15702.621029374428</c:v>
                </c:pt>
                <c:pt idx="10">
                  <c:v>16173.699660255661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08-1A46-A7EF-8306636BA61F}"/>
            </c:ext>
          </c:extLst>
        </c:ser>
        <c:ser>
          <c:idx val="2"/>
          <c:order val="1"/>
          <c:tx>
            <c:strRef>
              <c:f>'Optimize Contribution'!$G$4:$G$5</c:f>
              <c:strCache>
                <c:ptCount val="2"/>
                <c:pt idx="0">
                  <c:v>Expenses</c:v>
                </c:pt>
                <c:pt idx="1">
                  <c:v>G</c:v>
                </c:pt>
              </c:strCache>
            </c:strRef>
          </c:tx>
          <c:spPr>
            <a:ln w="28575" cap="rnd">
              <a:solidFill>
                <a:schemeClr val="accent5"/>
              </a:solidFill>
              <a:prstDash val="solid"/>
              <a:round/>
            </a:ln>
          </c:spPr>
          <c:marker>
            <c:symbol val="none"/>
          </c:marker>
          <c:cat>
            <c:multiLvlStrRef>
              <c:f>'Optimize Contribution'!$A$7:$B$17</c:f>
              <c:multiLvlStrCache>
                <c:ptCount val="11"/>
                <c:lvl>
                  <c:pt idx="0">
                    <c:v>30/09/2026</c:v>
                  </c:pt>
                  <c:pt idx="1">
                    <c:v>30/09/2027</c:v>
                  </c:pt>
                  <c:pt idx="2">
                    <c:v>30/09/2028</c:v>
                  </c:pt>
                  <c:pt idx="3">
                    <c:v>30/09/2029</c:v>
                  </c:pt>
                  <c:pt idx="4">
                    <c:v>30/09/2030</c:v>
                  </c:pt>
                  <c:pt idx="5">
                    <c:v>30/09/2031</c:v>
                  </c:pt>
                  <c:pt idx="6">
                    <c:v>30/09/2032</c:v>
                  </c:pt>
                  <c:pt idx="7">
                    <c:v>30/09/2033</c:v>
                  </c:pt>
                  <c:pt idx="8">
                    <c:v>30/09/2034</c:v>
                  </c:pt>
                  <c:pt idx="9">
                    <c:v>30/09/2035</c:v>
                  </c:pt>
                  <c:pt idx="10">
                    <c:v>30/09/2036</c:v>
                  </c:pt>
                </c:lvl>
                <c:lvl>
                  <c:pt idx="0">
                    <c:v>Current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</c:lvl>
              </c:multiLvlStrCache>
            </c:multiLvlStrRef>
          </c:cat>
          <c:val>
            <c:numRef>
              <c:f>'Optimize Contribution'!$G$7:$G$17</c:f>
              <c:numCache>
                <c:formatCode>"$"#,##0.00</c:formatCode>
                <c:ptCount val="11"/>
                <c:pt idx="0">
                  <c:v>0</c:v>
                </c:pt>
                <c:pt idx="1">
                  <c:v>6489</c:v>
                </c:pt>
                <c:pt idx="2">
                  <c:v>3500.97</c:v>
                </c:pt>
                <c:pt idx="3">
                  <c:v>107880.5658</c:v>
                </c:pt>
                <c:pt idx="4">
                  <c:v>112779.3593</c:v>
                </c:pt>
                <c:pt idx="5">
                  <c:v>49695.760999999999</c:v>
                </c:pt>
                <c:pt idx="6">
                  <c:v>185598.71280000001</c:v>
                </c:pt>
                <c:pt idx="7">
                  <c:v>46852.044900000001</c:v>
                </c:pt>
                <c:pt idx="8">
                  <c:v>24433.461299999999</c:v>
                </c:pt>
                <c:pt idx="9">
                  <c:v>133022.93090000001</c:v>
                </c:pt>
                <c:pt idx="10">
                  <c:v>34998.270400000001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08-1A46-A7EF-8306636BA61F}"/>
            </c:ext>
          </c:extLst>
        </c:ser>
        <c:ser>
          <c:idx val="3"/>
          <c:order val="2"/>
          <c:tx>
            <c:strRef>
              <c:f>'Optimize Contribution'!$I$4:$I$5</c:f>
              <c:strCache>
                <c:ptCount val="2"/>
                <c:pt idx="0">
                  <c:v>Closing Balance</c:v>
                </c:pt>
                <c:pt idx="1">
                  <c:v>I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multiLvlStrRef>
              <c:f>'Optimize Contribution'!$A$7:$B$17</c:f>
              <c:multiLvlStrCache>
                <c:ptCount val="11"/>
                <c:lvl>
                  <c:pt idx="0">
                    <c:v>30/09/2026</c:v>
                  </c:pt>
                  <c:pt idx="1">
                    <c:v>30/09/2027</c:v>
                  </c:pt>
                  <c:pt idx="2">
                    <c:v>30/09/2028</c:v>
                  </c:pt>
                  <c:pt idx="3">
                    <c:v>30/09/2029</c:v>
                  </c:pt>
                  <c:pt idx="4">
                    <c:v>30/09/2030</c:v>
                  </c:pt>
                  <c:pt idx="5">
                    <c:v>30/09/2031</c:v>
                  </c:pt>
                  <c:pt idx="6">
                    <c:v>30/09/2032</c:v>
                  </c:pt>
                  <c:pt idx="7">
                    <c:v>30/09/2033</c:v>
                  </c:pt>
                  <c:pt idx="8">
                    <c:v>30/09/2034</c:v>
                  </c:pt>
                  <c:pt idx="9">
                    <c:v>30/09/2035</c:v>
                  </c:pt>
                  <c:pt idx="10">
                    <c:v>30/09/2036</c:v>
                  </c:pt>
                </c:lvl>
                <c:lvl>
                  <c:pt idx="0">
                    <c:v>Current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</c:lvl>
              </c:multiLvlStrCache>
            </c:multiLvlStrRef>
          </c:cat>
          <c:val>
            <c:numRef>
              <c:f>'Optimize Contribution'!$I$7:$I$17</c:f>
              <c:numCache>
                <c:formatCode>"$"#,##0.00</c:formatCode>
                <c:ptCount val="11"/>
                <c:pt idx="0">
                  <c:v>370000</c:v>
                </c:pt>
                <c:pt idx="1">
                  <c:v>375387.67404352035</c:v>
                </c:pt>
                <c:pt idx="2">
                  <c:v>395635.92452965194</c:v>
                </c:pt>
                <c:pt idx="3">
                  <c:v>304144.68910231226</c:v>
                </c:pt>
                <c:pt idx="4">
                  <c:v>205012.54056917547</c:v>
                </c:pt>
                <c:pt idx="5">
                  <c:v>171443.07030917844</c:v>
                </c:pt>
                <c:pt idx="6">
                  <c:v>-9490.1247405306749</c:v>
                </c:pt>
                <c:pt idx="7">
                  <c:v>-45289.106887564674</c:v>
                </c:pt>
                <c:pt idx="8">
                  <c:v>-56431.981956249692</c:v>
                </c:pt>
                <c:pt idx="9">
                  <c:v>-184394.12629887526</c:v>
                </c:pt>
                <c:pt idx="10">
                  <c:v>-206018.55867061962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808-1A46-A7EF-8306636BA6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4190392"/>
        <c:axId val="384191960"/>
      </c:lineChart>
      <c:catAx>
        <c:axId val="384190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191960"/>
        <c:crosses val="autoZero"/>
        <c:auto val="1"/>
        <c:lblAlgn val="ctr"/>
        <c:lblOffset val="100"/>
        <c:noMultiLvlLbl val="0"/>
      </c:catAx>
      <c:valAx>
        <c:axId val="384191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&quot;$&quot;#,##0.00_);[Red]\(&quot;$&quot;#,##0.00\)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19039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2819400" cy="914400"/>
    <xdr:pic>
      <xdr:nvPicPr>
        <xdr:cNvPr id="2" name="Image 1" descr="Pictu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819400" cy="91440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169333</xdr:colOff>
      <xdr:row>0</xdr:row>
      <xdr:rowOff>155221</xdr:rowOff>
    </xdr:from>
    <xdr:ext cx="2921000" cy="1185333"/>
    <xdr:pic>
      <xdr:nvPicPr>
        <xdr:cNvPr id="2" name="Image 1" descr="Pictu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45444" y="155221"/>
          <a:ext cx="2921000" cy="1185333"/>
        </a:xfrm>
        <a:prstGeom prst="rect">
          <a:avLst/>
        </a:prstGeom>
      </xdr:spPr>
    </xdr:pic>
    <xdr:clientData/>
  </xdr:oneCellAnchor>
  <xdr:twoCellAnchor>
    <xdr:from>
      <xdr:col>3</xdr:col>
      <xdr:colOff>316240</xdr:colOff>
      <xdr:row>5</xdr:row>
      <xdr:rowOff>246692</xdr:rowOff>
    </xdr:from>
    <xdr:to>
      <xdr:col>5</xdr:col>
      <xdr:colOff>217009</xdr:colOff>
      <xdr:row>9</xdr:row>
      <xdr:rowOff>134207</xdr:rowOff>
    </xdr:to>
    <xdr:sp macro="[0]!ExportToWord" textlink="">
      <xdr:nvSpPr>
        <xdr:cNvPr id="3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7710462" y="2151692"/>
          <a:ext cx="1848103" cy="903515"/>
        </a:xfrm>
        <a:prstGeom prst="roundRect">
          <a:avLst/>
        </a:prstGeom>
        <a:solidFill>
          <a:srgbClr val="22487F"/>
        </a:solidFill>
        <a:ln>
          <a:solidFill>
            <a:srgbClr val="22487F"/>
          </a:solidFill>
        </a:ln>
      </xdr:spPr>
      <xdr:style>
        <a:lnRef idx="2">
          <a:srgbClr val="22487F"/>
        </a:lnRef>
        <a:fillRef idx="1">
          <a:srgbClr val="22487F"/>
        </a:fillRef>
        <a:effectRef idx="0">
          <a:srgbClr val="22487F"/>
        </a:effectRef>
        <a:fontRef idx="minor">
          <a:srgbClr val="FFFFFF"/>
        </a:fontRef>
      </xdr:style>
      <xdr:txBody>
        <a:bodyPr vertOverflow="clip" horzOverflow="clip" rtlCol="0" anchor="ctr"/>
        <a:lstStyle/>
        <a:p>
          <a:pPr algn="ctr"/>
          <a:r>
            <a:rPr lang="en-AU" sz="1100" b="1" dirty="0">
              <a:solidFill>
                <a:srgbClr val="FFFFFF"/>
              </a:solidFill>
              <a:latin typeface="Calibri"/>
            </a:rPr>
            <a:t>Generate Report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242455</xdr:colOff>
      <xdr:row>0</xdr:row>
      <xdr:rowOff>219365</xdr:rowOff>
    </xdr:from>
    <xdr:ext cx="2828636" cy="981364"/>
    <xdr:pic>
      <xdr:nvPicPr>
        <xdr:cNvPr id="2" name="Image 1" descr="Pictur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42455" y="219365"/>
          <a:ext cx="2828636" cy="981364"/>
        </a:xfrm>
        <a:prstGeom prst="rect">
          <a:avLst/>
        </a:prstGeom>
      </xdr:spPr>
    </xdr:pic>
    <xdr:clientData/>
  </xdr:oneCellAnchor>
  <xdr:twoCellAnchor>
    <xdr:from>
      <xdr:col>9</xdr:col>
      <xdr:colOff>317500</xdr:colOff>
      <xdr:row>5</xdr:row>
      <xdr:rowOff>0</xdr:rowOff>
    </xdr:from>
    <xdr:to>
      <xdr:col>12</xdr:col>
      <xdr:colOff>228600</xdr:colOff>
      <xdr:row>7</xdr:row>
      <xdr:rowOff>38100</xdr:rowOff>
    </xdr:to>
    <xdr:sp macro="[0]!btn_Run" textlink="">
      <xdr:nvSpPr>
        <xdr:cNvPr id="3" name="Rounded 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0814050" y="904875"/>
          <a:ext cx="1711325" cy="419100"/>
        </a:xfrm>
        <a:prstGeom prst="roundRect">
          <a:avLst/>
        </a:prstGeom>
        <a:solidFill>
          <a:srgbClr val="CC3340"/>
        </a:solidFill>
        <a:ln>
          <a:solidFill>
            <a:srgbClr val="CC3340"/>
          </a:solidFill>
        </a:ln>
      </xdr:spPr>
      <xdr:style>
        <a:lnRef idx="2">
          <a:srgbClr val="CC3340"/>
        </a:lnRef>
        <a:fillRef idx="1">
          <a:srgbClr val="CC3340"/>
        </a:fillRef>
        <a:effectRef idx="0">
          <a:srgbClr val="CC3340"/>
        </a:effectRef>
        <a:fontRef idx="minor">
          <a:srgbClr val="FFFFFF"/>
        </a:fontRef>
      </xdr:style>
      <xdr:txBody>
        <a:bodyPr vertOverflow="clip" horzOverflow="clip" rtlCol="0" anchor="ctr"/>
        <a:lstStyle/>
        <a:p>
          <a:pPr algn="ctr"/>
          <a:r>
            <a:rPr lang="en-AU" sz="1400" b="1" dirty="0">
              <a:solidFill>
                <a:srgbClr val="FFFFFF"/>
              </a:solidFill>
              <a:latin typeface="Calibri"/>
            </a:rPr>
            <a:t>Run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333375</xdr:colOff>
      <xdr:row>17</xdr:row>
      <xdr:rowOff>152992</xdr:rowOff>
    </xdr:from>
    <xdr:to>
      <xdr:col>19</xdr:col>
      <xdr:colOff>233958</xdr:colOff>
      <xdr:row>40</xdr:row>
      <xdr:rowOff>144064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76200</xdr:colOff>
          <xdr:row>3</xdr:row>
          <xdr:rowOff>114300</xdr:rowOff>
        </xdr:from>
        <xdr:to>
          <xdr:col>12</xdr:col>
          <xdr:colOff>2781300</xdr:colOff>
          <xdr:row>4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Renew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609600</xdr:colOff>
          <xdr:row>1</xdr:row>
          <xdr:rowOff>333375</xdr:rowOff>
        </xdr:from>
        <xdr:to>
          <xdr:col>17</xdr:col>
          <xdr:colOff>457200</xdr:colOff>
          <xdr:row>3</xdr:row>
          <xdr:rowOff>295275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6</xdr:row>
      <xdr:rowOff>0</xdr:rowOff>
    </xdr:from>
    <xdr:to>
      <xdr:col>17</xdr:col>
      <xdr:colOff>130123</xdr:colOff>
      <xdr:row>9</xdr:row>
      <xdr:rowOff>78344</xdr:rowOff>
    </xdr:to>
    <xdr:sp macro="[0]!btn_Run" textlink="">
      <xdr:nvSpPr>
        <xdr:cNvPr id="14" name="Rounded Rectangle 1">
          <a:extLst>
            <a:ext uri="{FF2B5EF4-FFF2-40B4-BE49-F238E27FC236}">
              <a16:creationId xmlns:a16="http://schemas.microsoft.com/office/drawing/2014/main" id="{81D96DE5-FF64-42C9-BED4-918A131DDD6D}"/>
            </a:ext>
          </a:extLst>
        </xdr:cNvPr>
        <xdr:cNvSpPr/>
      </xdr:nvSpPr>
      <xdr:spPr>
        <a:xfrm>
          <a:off x="17145000" y="1113312"/>
          <a:ext cx="1824831" cy="635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latin typeface="Arial" panose="020B0604020202020204" pitchFamily="34" charset="0"/>
              <a:cs typeface="Arial" panose="020B0604020202020204" pitchFamily="34" charset="0"/>
            </a:rPr>
            <a:t>Run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_1" displayName="tabl_1" ref="A1:D11" totalsRowShown="0" headerRowDxfId="64" dataDxfId="63">
  <autoFilter ref="A1:D11" xr:uid="{00000000-0009-0000-0100-000001000000}"/>
  <tableColumns count="4">
    <tableColumn id="1" xr3:uid="{00000000-0010-0000-0000-000001000000}" name="Year" dataDxfId="62"/>
    <tableColumn id="2" xr3:uid="{00000000-0010-0000-0000-000002000000}" name="Total" dataDxfId="61"/>
    <tableColumn id="3" xr3:uid="{00000000-0010-0000-0000-000003000000}" name="Residential Stratum" dataDxfId="60"/>
    <tableColumn id="4" xr3:uid="{00000000-0010-0000-0000-000004000000}" name="Commercial Stratum" dataDxfId="59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_2" displayName="tabl_2" ref="A1:C7" totalsRowShown="0">
  <autoFilter ref="A1:C7" xr:uid="{00000000-0009-0000-0100-000002000000}"/>
  <tableColumns count="3">
    <tableColumn id="1" xr3:uid="{00000000-0010-0000-0100-000001000000}" name="Contribution Splits" dataDxfId="58"/>
    <tableColumn id="2" xr3:uid="{00000000-0010-0000-0100-000002000000}" name="Residential Stratum" dataDxfId="57"/>
    <tableColumn id="3" xr3:uid="{00000000-0010-0000-0100-000003000000}" name="Commercial Stratum" dataDxfId="56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_3" displayName="tabl_3" ref="A1:L4" totalsRowShown="0" headerRowDxfId="55" dataDxfId="54">
  <autoFilter ref="A1:L4" xr:uid="{00000000-0009-0000-0100-000003000000}"/>
  <tableColumns count="12">
    <tableColumn id="1" xr3:uid="{00000000-0010-0000-0200-000001000000}" name="Name" dataDxfId="53"/>
    <tableColumn id="2" xr3:uid="{00000000-0010-0000-0200-000002000000}" name="Present Value" dataDxfId="52"/>
    <tableColumn id="3" xr3:uid="{00000000-0010-0000-0200-000003000000}" name="1" dataDxfId="51"/>
    <tableColumn id="4" xr3:uid="{00000000-0010-0000-0200-000004000000}" name="2" dataDxfId="50"/>
    <tableColumn id="5" xr3:uid="{00000000-0010-0000-0200-000005000000}" name="3" dataDxfId="49"/>
    <tableColumn id="6" xr3:uid="{00000000-0010-0000-0200-000006000000}" name="4" dataDxfId="48"/>
    <tableColumn id="7" xr3:uid="{00000000-0010-0000-0200-000007000000}" name="5" dataDxfId="47"/>
    <tableColumn id="8" xr3:uid="{00000000-0010-0000-0200-000008000000}" name="6" dataDxfId="46"/>
    <tableColumn id="9" xr3:uid="{00000000-0010-0000-0200-000009000000}" name="7" dataDxfId="45"/>
    <tableColumn id="10" xr3:uid="{00000000-0010-0000-0200-00000A000000}" name="8" dataDxfId="44"/>
    <tableColumn id="11" xr3:uid="{00000000-0010-0000-0200-00000B000000}" name="9" dataDxfId="43"/>
    <tableColumn id="12" xr3:uid="{00000000-0010-0000-0200-00000C000000}" name="10" dataDxfId="42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_4" displayName="tabl_4" ref="A1:L44" totalsRowShown="0" headerRowDxfId="41" dataDxfId="40">
  <autoFilter ref="A1:L44" xr:uid="{00000000-0009-0000-0100-000004000000}"/>
  <tableColumns count="12">
    <tableColumn id="1" xr3:uid="{00000000-0010-0000-0300-000001000000}" name="Expenditure Item" dataDxfId="39"/>
    <tableColumn id="2" xr3:uid="{00000000-0010-0000-0300-000002000000}" name="Present Value" dataDxfId="38"/>
    <tableColumn id="3" xr3:uid="{00000000-0010-0000-0300-000003000000}" name="1" dataDxfId="37"/>
    <tableColumn id="4" xr3:uid="{00000000-0010-0000-0300-000004000000}" name="2" dataDxfId="36"/>
    <tableColumn id="5" xr3:uid="{00000000-0010-0000-0300-000005000000}" name="3" dataDxfId="35"/>
    <tableColumn id="6" xr3:uid="{00000000-0010-0000-0300-000006000000}" name="4" dataDxfId="34"/>
    <tableColumn id="7" xr3:uid="{00000000-0010-0000-0300-000007000000}" name="5" dataDxfId="33"/>
    <tableColumn id="8" xr3:uid="{00000000-0010-0000-0300-000008000000}" name="6" dataDxfId="32"/>
    <tableColumn id="9" xr3:uid="{00000000-0010-0000-0300-000009000000}" name="7" dataDxfId="31"/>
    <tableColumn id="10" xr3:uid="{00000000-0010-0000-0300-00000A000000}" name="8" dataDxfId="30"/>
    <tableColumn id="11" xr3:uid="{00000000-0010-0000-0300-00000B000000}" name="9" dataDxfId="29"/>
    <tableColumn id="12" xr3:uid="{00000000-0010-0000-0300-00000C000000}" name="10" dataDxfId="28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_5" displayName="tabl_5" ref="A1:L44" totalsRowShown="0" headerRowDxfId="27" dataDxfId="26">
  <autoFilter ref="A1:L44" xr:uid="{00000000-0009-0000-0100-000005000000}"/>
  <tableColumns count="12">
    <tableColumn id="1" xr3:uid="{00000000-0010-0000-0400-000001000000}" name="Expenditure Item" dataDxfId="25"/>
    <tableColumn id="2" xr3:uid="{00000000-0010-0000-0400-000002000000}" name="Present Value" dataDxfId="24"/>
    <tableColumn id="3" xr3:uid="{00000000-0010-0000-0400-000003000000}" name="1" dataDxfId="23"/>
    <tableColumn id="4" xr3:uid="{00000000-0010-0000-0400-000004000000}" name="2" dataDxfId="22"/>
    <tableColumn id="5" xr3:uid="{00000000-0010-0000-0400-000005000000}" name="3" dataDxfId="21"/>
    <tableColumn id="6" xr3:uid="{00000000-0010-0000-0400-000006000000}" name="4" dataDxfId="20"/>
    <tableColumn id="7" xr3:uid="{00000000-0010-0000-0400-000007000000}" name="5" dataDxfId="19"/>
    <tableColumn id="8" xr3:uid="{00000000-0010-0000-0400-000008000000}" name="6" dataDxfId="18"/>
    <tableColumn id="9" xr3:uid="{00000000-0010-0000-0400-000009000000}" name="7" dataDxfId="17"/>
    <tableColumn id="10" xr3:uid="{00000000-0010-0000-0400-00000A000000}" name="8" dataDxfId="16"/>
    <tableColumn id="11" xr3:uid="{00000000-0010-0000-0400-00000B000000}" name="9" dataDxfId="15"/>
    <tableColumn id="12" xr3:uid="{00000000-0010-0000-0400-00000C000000}" name="10" dataDxfId="14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_6" displayName="tabl_6" ref="A1:L44" totalsRowShown="0" headerRowDxfId="13" dataDxfId="12">
  <autoFilter ref="A1:L44" xr:uid="{00000000-0009-0000-0100-000006000000}"/>
  <tableColumns count="12">
    <tableColumn id="1" xr3:uid="{00000000-0010-0000-0500-000001000000}" name="Expenditure Item" dataDxfId="11"/>
    <tableColumn id="2" xr3:uid="{00000000-0010-0000-0500-000002000000}" name="Present Value" dataDxfId="10"/>
    <tableColumn id="3" xr3:uid="{00000000-0010-0000-0500-000003000000}" name="1" dataDxfId="9"/>
    <tableColumn id="4" xr3:uid="{00000000-0010-0000-0500-000004000000}" name="2" dataDxfId="8"/>
    <tableColumn id="5" xr3:uid="{00000000-0010-0000-0500-000005000000}" name="3" dataDxfId="7"/>
    <tableColumn id="6" xr3:uid="{00000000-0010-0000-0500-000006000000}" name="4" dataDxfId="6"/>
    <tableColumn id="7" xr3:uid="{00000000-0010-0000-0500-000007000000}" name="5" dataDxfId="5"/>
    <tableColumn id="8" xr3:uid="{00000000-0010-0000-0500-000008000000}" name="6" dataDxfId="4"/>
    <tableColumn id="9" xr3:uid="{00000000-0010-0000-0500-000009000000}" name="7" dataDxfId="3"/>
    <tableColumn id="10" xr3:uid="{00000000-0010-0000-0500-00000A000000}" name="8" dataDxfId="2"/>
    <tableColumn id="11" xr3:uid="{00000000-0010-0000-0500-00000B000000}" name="9" dataDxfId="1"/>
    <tableColumn id="12" xr3:uid="{00000000-0010-0000-0500-00000C000000}" name="10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28"/>
  <sheetViews>
    <sheetView showGridLines="0" workbookViewId="0">
      <selection activeCell="B14" sqref="B14"/>
    </sheetView>
  </sheetViews>
  <sheetFormatPr defaultColWidth="8.85546875" defaultRowHeight="15" x14ac:dyDescent="0.25"/>
  <cols>
    <col min="1" max="1" width="24.7109375" customWidth="1"/>
    <col min="2" max="2" width="52.42578125" customWidth="1"/>
    <col min="8" max="8" width="26.42578125" bestFit="1" customWidth="1"/>
  </cols>
  <sheetData>
    <row r="1" spans="1:8" ht="65.099999999999994" customHeight="1" x14ac:dyDescent="0.25">
      <c r="H1" s="76" t="s">
        <v>0</v>
      </c>
    </row>
    <row r="2" spans="1:8" ht="30" customHeight="1" x14ac:dyDescent="0.25">
      <c r="A2" s="77" t="s">
        <v>1</v>
      </c>
      <c r="B2" s="77" t="s">
        <v>2</v>
      </c>
      <c r="C2" s="78"/>
      <c r="D2" s="78"/>
      <c r="E2" s="78"/>
      <c r="F2" s="78"/>
      <c r="G2" s="78"/>
      <c r="H2" s="79" t="s">
        <v>3</v>
      </c>
    </row>
    <row r="3" spans="1:8" x14ac:dyDescent="0.25">
      <c r="B3" s="68"/>
      <c r="H3" s="80" t="s">
        <v>4</v>
      </c>
    </row>
    <row r="4" spans="1:8" x14ac:dyDescent="0.25">
      <c r="B4" s="68"/>
      <c r="H4" s="80" t="s">
        <v>5</v>
      </c>
    </row>
    <row r="5" spans="1:8" x14ac:dyDescent="0.25">
      <c r="B5" s="68"/>
      <c r="H5" s="80" t="s">
        <v>6</v>
      </c>
    </row>
    <row r="6" spans="1:8" x14ac:dyDescent="0.25">
      <c r="B6" s="68"/>
      <c r="H6" s="80" t="s">
        <v>7</v>
      </c>
    </row>
    <row r="7" spans="1:8" x14ac:dyDescent="0.25">
      <c r="B7" s="68"/>
      <c r="H7" s="80" t="s">
        <v>8</v>
      </c>
    </row>
    <row r="8" spans="1:8" x14ac:dyDescent="0.25">
      <c r="B8" s="68"/>
      <c r="H8" s="80" t="s">
        <v>9</v>
      </c>
    </row>
    <row r="9" spans="1:8" x14ac:dyDescent="0.25">
      <c r="B9" s="68"/>
      <c r="H9" s="80" t="s">
        <v>10</v>
      </c>
    </row>
    <row r="10" spans="1:8" x14ac:dyDescent="0.25">
      <c r="B10" s="68"/>
      <c r="H10" s="80" t="s">
        <v>11</v>
      </c>
    </row>
    <row r="11" spans="1:8" x14ac:dyDescent="0.25">
      <c r="B11" s="68"/>
      <c r="H11" s="80" t="s">
        <v>12</v>
      </c>
    </row>
    <row r="12" spans="1:8" x14ac:dyDescent="0.25">
      <c r="B12" s="68"/>
      <c r="H12" s="80" t="s">
        <v>13</v>
      </c>
    </row>
    <row r="13" spans="1:8" x14ac:dyDescent="0.25">
      <c r="B13" s="68"/>
    </row>
    <row r="14" spans="1:8" x14ac:dyDescent="0.25">
      <c r="B14" s="68"/>
    </row>
    <row r="15" spans="1:8" x14ac:dyDescent="0.25">
      <c r="B15" s="68"/>
    </row>
    <row r="16" spans="1:8" x14ac:dyDescent="0.25">
      <c r="B16" s="68"/>
    </row>
    <row r="17" spans="2:2" x14ac:dyDescent="0.25">
      <c r="B17" s="68"/>
    </row>
    <row r="18" spans="2:2" x14ac:dyDescent="0.25">
      <c r="B18" s="68"/>
    </row>
    <row r="19" spans="2:2" x14ac:dyDescent="0.25">
      <c r="B19" s="68"/>
    </row>
    <row r="20" spans="2:2" x14ac:dyDescent="0.25">
      <c r="B20" s="68"/>
    </row>
    <row r="21" spans="2:2" x14ac:dyDescent="0.25">
      <c r="B21" s="68"/>
    </row>
    <row r="22" spans="2:2" x14ac:dyDescent="0.25">
      <c r="B22" s="68"/>
    </row>
    <row r="23" spans="2:2" x14ac:dyDescent="0.25">
      <c r="B23" s="68"/>
    </row>
    <row r="24" spans="2:2" x14ac:dyDescent="0.25">
      <c r="B24" s="68"/>
    </row>
    <row r="25" spans="2:2" x14ac:dyDescent="0.25">
      <c r="B25" s="68"/>
    </row>
    <row r="26" spans="2:2" x14ac:dyDescent="0.25">
      <c r="B26" s="68"/>
    </row>
    <row r="27" spans="2:2" x14ac:dyDescent="0.25">
      <c r="B27" s="68"/>
    </row>
    <row r="28" spans="2:2" x14ac:dyDescent="0.25">
      <c r="B28" s="68"/>
    </row>
  </sheetData>
  <dataValidations count="1">
    <dataValidation type="list" allowBlank="1" showInputMessage="1" showErrorMessage="1" sqref="B2" xr:uid="{00000000-0002-0000-0000-000000000000}">
      <formula1>"Capital Works Fund Forecast,BMC Capital Works Fund Forecast"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InputsAssumptions"/>
  <dimension ref="A1:H54"/>
  <sheetViews>
    <sheetView showGridLines="0" zoomScale="90" zoomScaleNormal="90" workbookViewId="0">
      <selection activeCell="H15" sqref="H15"/>
    </sheetView>
  </sheetViews>
  <sheetFormatPr defaultColWidth="8" defaultRowHeight="15.75" x14ac:dyDescent="0.25"/>
  <cols>
    <col min="1" max="1" width="10.140625" style="35" customWidth="1"/>
    <col min="2" max="2" width="46" style="35" bestFit="1" customWidth="1"/>
    <col min="3" max="3" width="41" style="35" bestFit="1" customWidth="1"/>
    <col min="4" max="4" width="8" style="35" customWidth="1"/>
    <col min="5" max="5" width="17.42578125" style="35" customWidth="1"/>
    <col min="6" max="6" width="8" style="35" customWidth="1"/>
    <col min="7" max="7" width="23.28515625" style="35" customWidth="1"/>
    <col min="8" max="8" width="8" style="35" customWidth="1"/>
    <col min="9" max="9" width="14.7109375" style="35" bestFit="1" customWidth="1"/>
    <col min="10" max="10" width="13.42578125" style="35" bestFit="1" customWidth="1"/>
    <col min="11" max="11" width="8" style="35" customWidth="1"/>
    <col min="12" max="16384" width="8" style="35"/>
  </cols>
  <sheetData>
    <row r="1" spans="1:8" ht="65.099999999999994" customHeight="1" x14ac:dyDescent="0.25"/>
    <row r="2" spans="1:8" ht="21.95" customHeight="1" x14ac:dyDescent="0.25">
      <c r="C2" s="81" t="s">
        <v>14</v>
      </c>
    </row>
    <row r="3" spans="1:8" ht="21.95" customHeight="1" x14ac:dyDescent="0.25">
      <c r="A3" s="154" t="s">
        <v>15</v>
      </c>
      <c r="B3" s="155"/>
      <c r="C3" s="155"/>
      <c r="D3" s="125"/>
      <c r="E3" s="124" t="s">
        <v>16</v>
      </c>
      <c r="F3" s="125"/>
      <c r="G3" s="124" t="s">
        <v>17</v>
      </c>
      <c r="H3" s="125"/>
    </row>
    <row r="4" spans="1:8" ht="20.100000000000001" customHeight="1" x14ac:dyDescent="0.2">
      <c r="A4" s="91"/>
      <c r="B4" s="82" t="s">
        <v>18</v>
      </c>
      <c r="C4" s="83" t="s">
        <v>19</v>
      </c>
      <c r="D4" s="84"/>
      <c r="E4" s="85" t="s">
        <v>20</v>
      </c>
      <c r="F4" s="86"/>
      <c r="G4" s="87" t="s">
        <v>17</v>
      </c>
      <c r="H4" s="86"/>
    </row>
    <row r="5" spans="1:8" ht="20.100000000000001" customHeight="1" x14ac:dyDescent="0.25">
      <c r="A5" s="91"/>
      <c r="B5" s="82" t="s">
        <v>21</v>
      </c>
      <c r="C5" s="83" t="s">
        <v>22</v>
      </c>
    </row>
    <row r="6" spans="1:8" ht="20.100000000000001" customHeight="1" x14ac:dyDescent="0.25">
      <c r="A6" s="91"/>
      <c r="B6" s="82" t="s">
        <v>23</v>
      </c>
      <c r="C6" s="83">
        <v>82458</v>
      </c>
    </row>
    <row r="7" spans="1:8" ht="20.100000000000001" customHeight="1" x14ac:dyDescent="0.25">
      <c r="A7" s="91"/>
      <c r="B7" s="82" t="s">
        <v>24</v>
      </c>
      <c r="C7" s="88">
        <v>40045</v>
      </c>
    </row>
    <row r="8" spans="1:8" ht="20.100000000000001" customHeight="1" x14ac:dyDescent="0.25">
      <c r="A8" s="91"/>
      <c r="B8" s="82" t="s">
        <v>25</v>
      </c>
      <c r="C8" s="83">
        <v>29</v>
      </c>
    </row>
    <row r="9" spans="1:8" ht="20.100000000000001" customHeight="1" x14ac:dyDescent="0.25">
      <c r="A9" s="91"/>
      <c r="B9" s="82" t="s">
        <v>26</v>
      </c>
      <c r="C9" s="83">
        <v>1000</v>
      </c>
    </row>
    <row r="10" spans="1:8" ht="20.100000000000001" customHeight="1" x14ac:dyDescent="0.25">
      <c r="A10" s="91"/>
      <c r="B10" s="82" t="s">
        <v>27</v>
      </c>
      <c r="C10" s="89">
        <v>219871</v>
      </c>
    </row>
    <row r="11" spans="1:8" ht="20.100000000000001" customHeight="1" x14ac:dyDescent="0.25">
      <c r="A11" s="91"/>
      <c r="B11" s="82" t="s">
        <v>28</v>
      </c>
      <c r="C11" s="89" t="s">
        <v>29</v>
      </c>
    </row>
    <row r="12" spans="1:8" ht="20.100000000000001" customHeight="1" x14ac:dyDescent="0.25">
      <c r="A12" s="91"/>
      <c r="B12" s="82" t="s">
        <v>30</v>
      </c>
      <c r="C12" s="89">
        <v>0</v>
      </c>
    </row>
    <row r="13" spans="1:8" ht="20.100000000000001" customHeight="1" x14ac:dyDescent="0.25">
      <c r="A13" s="91"/>
      <c r="B13" s="82" t="s">
        <v>31</v>
      </c>
      <c r="C13" s="89">
        <v>24681</v>
      </c>
    </row>
    <row r="14" spans="1:8" ht="20.100000000000001" customHeight="1" x14ac:dyDescent="0.25">
      <c r="A14" s="91"/>
      <c r="B14" s="82" t="s">
        <v>32</v>
      </c>
      <c r="C14" s="90">
        <f>IA_FundLevy/C9</f>
        <v>24.681000000000001</v>
      </c>
    </row>
    <row r="15" spans="1:8" ht="20.100000000000001" customHeight="1" x14ac:dyDescent="0.25">
      <c r="A15" s="91"/>
      <c r="B15" s="82" t="s">
        <v>33</v>
      </c>
      <c r="C15" s="90">
        <f>'Optimize Contribution'!E8</f>
        <v>12.395794043520374</v>
      </c>
    </row>
    <row r="16" spans="1:8" ht="20.100000000000001" customHeight="1" x14ac:dyDescent="0.25">
      <c r="A16" s="91"/>
      <c r="B16" s="82" t="s">
        <v>34</v>
      </c>
      <c r="C16" s="83" t="s">
        <v>35</v>
      </c>
    </row>
    <row r="17" spans="1:3" ht="20.100000000000001" customHeight="1" x14ac:dyDescent="0.25">
      <c r="A17" s="91"/>
      <c r="B17" s="82" t="s">
        <v>36</v>
      </c>
      <c r="C17" s="92" t="s">
        <v>37</v>
      </c>
    </row>
    <row r="18" spans="1:3" ht="20.100000000000001" customHeight="1" x14ac:dyDescent="0.25">
      <c r="A18" s="91"/>
      <c r="B18" s="82" t="s">
        <v>38</v>
      </c>
      <c r="C18" s="93" t="s">
        <v>39</v>
      </c>
    </row>
    <row r="19" spans="1:3" ht="20.100000000000001" customHeight="1" x14ac:dyDescent="0.25">
      <c r="A19" s="91"/>
      <c r="B19" s="82" t="s">
        <v>40</v>
      </c>
      <c r="C19" s="83" t="s">
        <v>41</v>
      </c>
    </row>
    <row r="20" spans="1:3" ht="21.95" customHeight="1" x14ac:dyDescent="0.25">
      <c r="A20" s="153" t="s">
        <v>42</v>
      </c>
      <c r="B20" s="153"/>
      <c r="C20" s="153"/>
    </row>
    <row r="21" spans="1:3" ht="20.100000000000001" customHeight="1" x14ac:dyDescent="0.25">
      <c r="A21" s="91"/>
      <c r="B21" s="82" t="s">
        <v>43</v>
      </c>
      <c r="C21" s="88">
        <v>46296</v>
      </c>
    </row>
    <row r="22" spans="1:3" ht="20.100000000000001" customHeight="1" x14ac:dyDescent="0.2">
      <c r="A22" s="84"/>
      <c r="B22" s="82" t="s">
        <v>44</v>
      </c>
      <c r="C22" s="94">
        <v>0.03</v>
      </c>
    </row>
    <row r="23" spans="1:3" ht="20.100000000000001" customHeight="1" x14ac:dyDescent="0.2">
      <c r="A23" s="84"/>
      <c r="B23" s="82" t="s">
        <v>45</v>
      </c>
      <c r="C23" s="83">
        <v>10</v>
      </c>
    </row>
    <row r="24" spans="1:3" ht="20.100000000000001" customHeight="1" x14ac:dyDescent="0.2">
      <c r="A24" s="84"/>
      <c r="B24" s="82" t="s">
        <v>46</v>
      </c>
      <c r="C24" s="94">
        <v>0.03</v>
      </c>
    </row>
    <row r="25" spans="1:3" ht="20.100000000000001" customHeight="1" x14ac:dyDescent="0.2">
      <c r="A25" s="84"/>
      <c r="B25" s="82" t="s">
        <v>47</v>
      </c>
      <c r="C25" s="95">
        <v>0.08</v>
      </c>
    </row>
    <row r="26" spans="1:3" ht="20.100000000000001" customHeight="1" x14ac:dyDescent="0.2">
      <c r="A26" s="84"/>
      <c r="B26" s="82"/>
      <c r="C26" s="96"/>
    </row>
    <row r="27" spans="1:3" x14ac:dyDescent="0.25">
      <c r="B27" s="36"/>
      <c r="C27" s="41"/>
    </row>
    <row r="28" spans="1:3" x14ac:dyDescent="0.25">
      <c r="B28" s="13"/>
    </row>
    <row r="30" spans="1:3" x14ac:dyDescent="0.25">
      <c r="B30" s="42"/>
    </row>
    <row r="31" spans="1:3" x14ac:dyDescent="0.25">
      <c r="C31" s="42"/>
    </row>
    <row r="36" spans="1:6" x14ac:dyDescent="0.25">
      <c r="A36" s="139" t="s">
        <v>48</v>
      </c>
      <c r="B36" s="43"/>
    </row>
    <row r="37" spans="1:6" x14ac:dyDescent="0.25">
      <c r="C37" s="35">
        <v>0.01</v>
      </c>
      <c r="F37" s="35" t="s">
        <v>49</v>
      </c>
    </row>
    <row r="38" spans="1:6" x14ac:dyDescent="0.25">
      <c r="B38" s="42" t="s">
        <v>29</v>
      </c>
      <c r="C38" s="35">
        <v>1.2500000000000001E-2</v>
      </c>
      <c r="D38" s="35">
        <v>1</v>
      </c>
      <c r="E38" s="44">
        <v>42917</v>
      </c>
      <c r="F38" s="35" t="s">
        <v>50</v>
      </c>
    </row>
    <row r="39" spans="1:6" x14ac:dyDescent="0.25">
      <c r="B39" s="42" t="s">
        <v>51</v>
      </c>
      <c r="C39" s="35">
        <v>1.4999999999999999E-2</v>
      </c>
      <c r="D39" s="35">
        <v>2</v>
      </c>
      <c r="E39" s="44">
        <v>43282</v>
      </c>
      <c r="F39" s="35" t="s">
        <v>52</v>
      </c>
    </row>
    <row r="40" spans="1:6" x14ac:dyDescent="0.25">
      <c r="C40" s="35">
        <v>1.7500000000000002E-2</v>
      </c>
      <c r="D40" s="35">
        <v>3</v>
      </c>
      <c r="E40" s="44">
        <v>43647</v>
      </c>
      <c r="F40" s="35" t="s">
        <v>53</v>
      </c>
    </row>
    <row r="41" spans="1:6" x14ac:dyDescent="0.25">
      <c r="C41" s="45">
        <v>0.02</v>
      </c>
      <c r="D41" s="35">
        <v>4</v>
      </c>
      <c r="E41" s="44">
        <v>44013</v>
      </c>
      <c r="F41" s="35" t="s">
        <v>54</v>
      </c>
    </row>
    <row r="42" spans="1:6" x14ac:dyDescent="0.25">
      <c r="C42" s="35">
        <v>2.5000000000000001E-2</v>
      </c>
      <c r="D42" s="35">
        <v>5</v>
      </c>
      <c r="E42" s="44">
        <v>44378</v>
      </c>
      <c r="F42" s="35" t="s">
        <v>55</v>
      </c>
    </row>
    <row r="43" spans="1:6" x14ac:dyDescent="0.25">
      <c r="C43" s="35">
        <v>0.03</v>
      </c>
      <c r="D43" s="35">
        <v>6</v>
      </c>
      <c r="E43" s="44">
        <v>44743</v>
      </c>
      <c r="F43" s="35" t="s">
        <v>56</v>
      </c>
    </row>
    <row r="44" spans="1:6" x14ac:dyDescent="0.25">
      <c r="C44" s="35">
        <v>3.5000000000000003E-2</v>
      </c>
      <c r="D44" s="35">
        <v>7</v>
      </c>
      <c r="E44" s="44">
        <v>45108</v>
      </c>
      <c r="F44" s="35" t="s">
        <v>35</v>
      </c>
    </row>
    <row r="45" spans="1:6" x14ac:dyDescent="0.25">
      <c r="C45" s="35">
        <v>0.04</v>
      </c>
      <c r="D45" s="35">
        <v>8</v>
      </c>
      <c r="E45" s="44">
        <v>45474</v>
      </c>
      <c r="F45" s="35" t="s">
        <v>57</v>
      </c>
    </row>
    <row r="46" spans="1:6" x14ac:dyDescent="0.25">
      <c r="C46" s="35">
        <v>4.4999999999999998E-2</v>
      </c>
      <c r="D46" s="35">
        <v>9</v>
      </c>
      <c r="E46" s="44">
        <v>45839</v>
      </c>
      <c r="F46" s="35" t="s">
        <v>58</v>
      </c>
    </row>
    <row r="47" spans="1:6" x14ac:dyDescent="0.25">
      <c r="C47" s="35">
        <v>0.05</v>
      </c>
      <c r="D47" s="35">
        <v>10</v>
      </c>
      <c r="E47" s="44">
        <v>46204</v>
      </c>
      <c r="F47" s="35" t="s">
        <v>59</v>
      </c>
    </row>
    <row r="48" spans="1:6" x14ac:dyDescent="0.25">
      <c r="C48" s="35">
        <v>5.5E-2</v>
      </c>
      <c r="D48" s="35">
        <v>11</v>
      </c>
      <c r="E48" s="44">
        <v>46569</v>
      </c>
      <c r="F48" s="35" t="s">
        <v>60</v>
      </c>
    </row>
    <row r="49" spans="3:8" x14ac:dyDescent="0.25">
      <c r="C49" s="35">
        <v>0.06</v>
      </c>
      <c r="D49" s="35">
        <v>12</v>
      </c>
      <c r="E49" s="44">
        <v>46935</v>
      </c>
      <c r="F49" s="35" t="s">
        <v>61</v>
      </c>
    </row>
    <row r="50" spans="3:8" x14ac:dyDescent="0.25">
      <c r="C50" s="35">
        <v>6.5000000000000002E-2</v>
      </c>
      <c r="D50" s="35">
        <v>13</v>
      </c>
      <c r="E50" s="44">
        <v>47300</v>
      </c>
      <c r="F50" s="35" t="s">
        <v>62</v>
      </c>
    </row>
    <row r="51" spans="3:8" x14ac:dyDescent="0.25">
      <c r="C51" s="35">
        <v>7.0000000000000007E-2</v>
      </c>
      <c r="D51" s="35">
        <v>14</v>
      </c>
      <c r="E51" s="44">
        <v>47665</v>
      </c>
      <c r="F51" s="35" t="s">
        <v>63</v>
      </c>
    </row>
    <row r="52" spans="3:8" x14ac:dyDescent="0.25">
      <c r="C52" s="35">
        <v>7.4999999999999997E-2</v>
      </c>
      <c r="D52" s="35">
        <v>15</v>
      </c>
      <c r="E52" s="44">
        <v>48030</v>
      </c>
      <c r="F52" s="35" t="s">
        <v>64</v>
      </c>
    </row>
    <row r="53" spans="3:8" x14ac:dyDescent="0.25">
      <c r="C53" s="35">
        <v>0.08</v>
      </c>
      <c r="E53" s="44">
        <v>48396</v>
      </c>
      <c r="F53" s="35" t="s">
        <v>65</v>
      </c>
    </row>
    <row r="54" spans="3:8" x14ac:dyDescent="0.25">
      <c r="F54" s="35" t="s">
        <v>66</v>
      </c>
      <c r="H54" s="53" t="s">
        <v>67</v>
      </c>
    </row>
  </sheetData>
  <mergeCells count="2">
    <mergeCell ref="A20:C20"/>
    <mergeCell ref="A3:C3"/>
  </mergeCells>
  <conditionalFormatting sqref="C18">
    <cfRule type="containsText" dxfId="67" priority="1" operator="containsText" text="Showers">
      <formula>NOT(ISERROR(SEARCH("Showers",C18)))</formula>
    </cfRule>
    <cfRule type="containsText" dxfId="66" priority="2" operator="containsText" text="Rain">
      <formula>NOT(ISERROR(SEARCH("Rain",C18)))</formula>
    </cfRule>
    <cfRule type="containsText" dxfId="65" priority="3" operator="containsText" text="Overcast">
      <formula>NOT(ISERROR(SEARCH("Overcast",C18)))</formula>
    </cfRule>
  </conditionalFormatting>
  <dataValidations count="7">
    <dataValidation type="list" allowBlank="1" showInputMessage="1" showErrorMessage="1" sqref="C18" xr:uid="{00000000-0002-0000-0100-000000000000}">
      <formula1>"Clear,Overcast,Rain,Showers"</formula1>
    </dataValidation>
    <dataValidation type="list" allowBlank="1" showInputMessage="1" showErrorMessage="1" promptTitle="Yes/No" sqref="C11" xr:uid="{00000000-0002-0000-0100-000001000000}">
      <formula1>$B$38:$B$39</formula1>
    </dataValidation>
    <dataValidation type="list" allowBlank="1" showInputMessage="1" showErrorMessage="1" sqref="C23" xr:uid="{00000000-0002-0000-0100-000002000000}">
      <formula1>$D$38:$D$52</formula1>
    </dataValidation>
    <dataValidation type="list" allowBlank="1" showInputMessage="1" showErrorMessage="1" sqref="C22 C24:C25" xr:uid="{00000000-0002-0000-0100-000003000000}">
      <formula1>$C$37:$C$53</formula1>
    </dataValidation>
    <dataValidation type="list" allowBlank="1" showInputMessage="1" showErrorMessage="1" sqref="C26:C27" xr:uid="{00000000-0002-0000-0100-000004000000}">
      <formula1>$C$37:$C$45</formula1>
    </dataValidation>
    <dataValidation type="list" allowBlank="1" showInputMessage="1" showErrorMessage="1" sqref="F37:F41" xr:uid="{00000000-0002-0000-0100-000005000000}">
      <formula1>$F$37:$F$56</formula1>
    </dataValidation>
    <dataValidation type="list" allowBlank="1" showInputMessage="1" showErrorMessage="1" sqref="C16" xr:uid="{00000000-0002-0000-0100-000006000000}">
      <formula1>$F$37:$F$80</formula1>
    </dataValidation>
  </dataValidations>
  <pageMargins left="0.7" right="0.7" top="0.75" bottom="0.75" header="0.3" footer="0.3"/>
  <pageSetup orientation="portrait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BuildingData"/>
  <dimension ref="A1:AC68"/>
  <sheetViews>
    <sheetView tabSelected="1" zoomScale="90" zoomScaleNormal="90" workbookViewId="0">
      <selection activeCell="B10" sqref="B10"/>
    </sheetView>
  </sheetViews>
  <sheetFormatPr defaultColWidth="8.42578125" defaultRowHeight="15" x14ac:dyDescent="0.25"/>
  <cols>
    <col min="1" max="1" width="6.28515625" style="28" bestFit="1" customWidth="1"/>
    <col min="2" max="2" width="77" style="3" customWidth="1"/>
    <col min="3" max="3" width="14.85546875" style="27" bestFit="1" customWidth="1"/>
    <col min="4" max="4" width="8.42578125" style="3" customWidth="1"/>
    <col min="5" max="5" width="13" style="26" bestFit="1" customWidth="1"/>
    <col min="6" max="6" width="13.42578125" style="25" bestFit="1" customWidth="1"/>
    <col min="7" max="8" width="9.42578125" style="28" bestFit="1" customWidth="1"/>
    <col min="9" max="9" width="15.140625" style="3" customWidth="1"/>
    <col min="10" max="10" width="8.42578125" style="3" customWidth="1"/>
    <col min="11" max="16384" width="8.42578125" style="3"/>
  </cols>
  <sheetData>
    <row r="1" spans="1:29" ht="65.099999999999994" customHeight="1" x14ac:dyDescent="0.25"/>
    <row r="2" spans="1:29" ht="8.1" customHeight="1" x14ac:dyDescent="0.25">
      <c r="A2" s="141"/>
      <c r="B2" s="97"/>
      <c r="C2" s="97"/>
      <c r="D2" s="97"/>
      <c r="E2" s="97"/>
      <c r="F2" s="97"/>
      <c r="G2" s="97"/>
      <c r="H2" s="97"/>
      <c r="I2" s="97"/>
      <c r="J2" s="84"/>
      <c r="K2" s="84"/>
      <c r="L2" s="84"/>
      <c r="M2" s="84"/>
      <c r="N2" s="84"/>
      <c r="O2" s="84"/>
      <c r="P2" s="84"/>
      <c r="Q2" s="84"/>
      <c r="R2" s="84"/>
      <c r="S2" s="84"/>
      <c r="T2" s="84"/>
      <c r="U2" s="84"/>
      <c r="V2" s="84"/>
      <c r="W2" s="84"/>
      <c r="X2" s="84"/>
      <c r="Y2" s="84"/>
      <c r="Z2" s="84"/>
      <c r="AA2" s="84"/>
      <c r="AB2" s="84"/>
      <c r="AC2" s="84"/>
    </row>
    <row r="3" spans="1:29" ht="8.1" customHeight="1" x14ac:dyDescent="0.25">
      <c r="A3" s="141"/>
      <c r="B3" s="97"/>
      <c r="C3" s="97"/>
      <c r="D3" s="97"/>
      <c r="E3" s="97"/>
      <c r="F3" s="97"/>
      <c r="G3" s="97"/>
      <c r="H3" s="97"/>
      <c r="I3" s="97"/>
      <c r="J3" s="84"/>
      <c r="K3" s="84"/>
      <c r="L3" s="84"/>
      <c r="M3" s="84"/>
      <c r="N3" s="84"/>
      <c r="O3" s="84"/>
      <c r="P3" s="84"/>
      <c r="Q3" s="84"/>
      <c r="R3" s="84"/>
      <c r="S3" s="84"/>
      <c r="T3" s="84"/>
      <c r="U3" s="84"/>
      <c r="V3" s="84"/>
      <c r="W3" s="84"/>
      <c r="X3" s="84"/>
      <c r="Y3" s="84"/>
      <c r="Z3" s="84"/>
      <c r="AA3" s="84"/>
      <c r="AB3" s="84"/>
      <c r="AC3" s="84"/>
    </row>
    <row r="4" spans="1:29" ht="45" x14ac:dyDescent="0.2">
      <c r="A4" s="98" t="s">
        <v>68</v>
      </c>
      <c r="B4" s="98" t="s">
        <v>69</v>
      </c>
      <c r="C4" s="98" t="s">
        <v>70</v>
      </c>
      <c r="D4" s="98" t="s">
        <v>71</v>
      </c>
      <c r="E4" s="99" t="s">
        <v>72</v>
      </c>
      <c r="F4" s="99" t="s">
        <v>73</v>
      </c>
      <c r="G4" s="98" t="s">
        <v>74</v>
      </c>
      <c r="H4" s="98" t="s">
        <v>75</v>
      </c>
      <c r="I4" s="98" t="s">
        <v>76</v>
      </c>
      <c r="J4" s="84"/>
      <c r="K4" s="84"/>
      <c r="L4" s="84"/>
      <c r="M4" s="84"/>
      <c r="N4" s="84"/>
      <c r="O4" s="84"/>
      <c r="P4" s="84"/>
      <c r="Q4" s="84"/>
      <c r="R4" s="84"/>
      <c r="S4" s="84"/>
      <c r="T4" s="84"/>
      <c r="U4" s="84"/>
      <c r="V4" s="84"/>
      <c r="W4" s="84"/>
      <c r="X4" s="84"/>
      <c r="Y4" s="84"/>
      <c r="Z4" s="84"/>
      <c r="AA4" s="84"/>
      <c r="AB4" s="84"/>
      <c r="AC4" s="84"/>
    </row>
    <row r="5" spans="1:29" ht="18" customHeight="1" x14ac:dyDescent="0.2">
      <c r="A5" s="100"/>
      <c r="B5" s="100"/>
      <c r="C5" s="101" t="s">
        <v>77</v>
      </c>
      <c r="D5" s="101" t="s">
        <v>78</v>
      </c>
      <c r="E5" s="102" t="s">
        <v>79</v>
      </c>
      <c r="F5" s="102" t="s">
        <v>80</v>
      </c>
      <c r="G5" s="101"/>
      <c r="H5" s="101"/>
      <c r="I5" s="100"/>
      <c r="J5" s="84"/>
      <c r="K5" s="84"/>
      <c r="L5" s="84"/>
      <c r="M5" s="84"/>
      <c r="N5" s="84"/>
      <c r="O5" s="84"/>
      <c r="P5" s="84"/>
      <c r="Q5" s="84"/>
      <c r="R5" s="84"/>
      <c r="S5" s="84"/>
      <c r="T5" s="84"/>
      <c r="U5" s="84"/>
      <c r="V5" s="84"/>
      <c r="W5" s="84"/>
      <c r="X5" s="84"/>
      <c r="Y5" s="84"/>
      <c r="Z5" s="84"/>
      <c r="AA5" s="84"/>
      <c r="AB5" s="84"/>
      <c r="AC5" s="84"/>
    </row>
    <row r="6" spans="1:29" ht="18" customHeight="1" x14ac:dyDescent="0.25">
      <c r="A6" s="160">
        <v>1</v>
      </c>
      <c r="B6" s="152" t="s">
        <v>81</v>
      </c>
      <c r="C6" s="103"/>
      <c r="D6" s="103"/>
      <c r="E6" s="103"/>
      <c r="F6" s="103"/>
      <c r="G6" s="103"/>
      <c r="H6" s="103"/>
      <c r="I6" s="104"/>
    </row>
    <row r="7" spans="1:29" ht="18" customHeight="1" x14ac:dyDescent="0.2">
      <c r="A7" s="105">
        <v>2</v>
      </c>
      <c r="B7" s="83" t="s">
        <v>82</v>
      </c>
      <c r="C7" s="106">
        <v>48</v>
      </c>
      <c r="D7" s="107" t="s">
        <v>83</v>
      </c>
      <c r="E7" s="108">
        <v>125</v>
      </c>
      <c r="F7" s="108">
        <f>C7*E7</f>
        <v>6000</v>
      </c>
      <c r="G7" s="106">
        <v>3</v>
      </c>
      <c r="H7" s="106">
        <v>3</v>
      </c>
      <c r="I7" s="84"/>
      <c r="J7" s="84"/>
      <c r="K7" s="84"/>
      <c r="L7" s="84"/>
      <c r="M7" s="84"/>
      <c r="N7" s="84"/>
      <c r="O7" s="84"/>
      <c r="P7" s="84"/>
      <c r="Q7" s="84"/>
      <c r="R7" s="84"/>
      <c r="S7" s="84"/>
      <c r="T7" s="84"/>
      <c r="U7" s="84"/>
      <c r="V7" s="84"/>
      <c r="W7" s="84"/>
      <c r="X7" s="84"/>
      <c r="Y7" s="84"/>
      <c r="Z7" s="84"/>
      <c r="AA7" s="84"/>
      <c r="AB7" s="84"/>
      <c r="AC7" s="84"/>
    </row>
    <row r="8" spans="1:29" ht="18" customHeight="1" x14ac:dyDescent="0.2">
      <c r="A8" s="105">
        <v>3</v>
      </c>
      <c r="B8" s="109" t="s">
        <v>84</v>
      </c>
      <c r="C8" s="110">
        <v>8</v>
      </c>
      <c r="D8" s="111" t="s">
        <v>85</v>
      </c>
      <c r="E8" s="112">
        <v>1200</v>
      </c>
      <c r="F8" s="112">
        <f>C8*E8</f>
        <v>9600</v>
      </c>
      <c r="G8" s="110">
        <v>5</v>
      </c>
      <c r="H8" s="110">
        <v>6</v>
      </c>
      <c r="I8" s="84"/>
      <c r="J8" s="84"/>
      <c r="K8" s="84"/>
      <c r="L8" s="84"/>
      <c r="M8" s="84"/>
      <c r="N8" s="84"/>
      <c r="O8" s="84"/>
      <c r="P8" s="84"/>
      <c r="Q8" s="84"/>
      <c r="R8" s="84"/>
      <c r="S8" s="84"/>
      <c r="T8" s="84"/>
      <c r="U8" s="84"/>
      <c r="V8" s="84"/>
      <c r="W8" s="84"/>
      <c r="X8" s="84"/>
      <c r="Y8" s="84"/>
      <c r="Z8" s="84"/>
      <c r="AA8" s="84"/>
      <c r="AB8" s="84"/>
      <c r="AC8" s="84"/>
    </row>
    <row r="9" spans="1:29" ht="18" customHeight="1" x14ac:dyDescent="0.25">
      <c r="A9" s="142">
        <v>4</v>
      </c>
      <c r="B9" s="103" t="s">
        <v>86</v>
      </c>
      <c r="C9" s="103"/>
      <c r="D9" s="103"/>
      <c r="E9" s="113"/>
      <c r="F9" s="113"/>
      <c r="G9" s="103"/>
      <c r="H9" s="103"/>
      <c r="I9" s="103"/>
      <c r="AC9" s="3" t="s">
        <v>87</v>
      </c>
    </row>
    <row r="10" spans="1:29" ht="18" customHeight="1" x14ac:dyDescent="0.2">
      <c r="A10" s="105">
        <v>5</v>
      </c>
      <c r="B10" s="109" t="s">
        <v>88</v>
      </c>
      <c r="C10" s="110">
        <v>400</v>
      </c>
      <c r="D10" s="111" t="s">
        <v>83</v>
      </c>
      <c r="E10" s="112">
        <v>90</v>
      </c>
      <c r="F10" s="112">
        <f t="shared" ref="F10:F16" si="0">C10*E10</f>
        <v>36000</v>
      </c>
      <c r="G10" s="110">
        <v>3</v>
      </c>
      <c r="H10" s="110">
        <v>3</v>
      </c>
      <c r="I10" s="84"/>
      <c r="J10" s="84"/>
      <c r="K10" s="84"/>
      <c r="L10" s="84"/>
      <c r="M10" s="84"/>
      <c r="N10" s="84"/>
      <c r="O10" s="84"/>
      <c r="P10" s="84"/>
      <c r="Q10" s="84"/>
      <c r="R10" s="84"/>
      <c r="S10" s="84"/>
      <c r="T10" s="84"/>
      <c r="U10" s="84"/>
      <c r="V10" s="84"/>
      <c r="W10" s="84"/>
      <c r="X10" s="84"/>
      <c r="Y10" s="84"/>
      <c r="Z10" s="84"/>
      <c r="AA10" s="84"/>
      <c r="AB10" s="84"/>
      <c r="AC10" s="91" t="s">
        <v>87</v>
      </c>
    </row>
    <row r="11" spans="1:29" ht="18" customHeight="1" x14ac:dyDescent="0.2">
      <c r="A11" s="105">
        <v>6</v>
      </c>
      <c r="B11" s="83" t="s">
        <v>89</v>
      </c>
      <c r="C11" s="106">
        <v>4</v>
      </c>
      <c r="D11" s="107" t="s">
        <v>83</v>
      </c>
      <c r="E11" s="108">
        <v>325</v>
      </c>
      <c r="F11" s="108">
        <f t="shared" si="0"/>
        <v>1300</v>
      </c>
      <c r="G11" s="106">
        <v>1</v>
      </c>
      <c r="H11" s="106">
        <v>2</v>
      </c>
      <c r="I11" s="84"/>
      <c r="J11" s="84"/>
      <c r="K11" s="84"/>
      <c r="L11" s="84"/>
      <c r="M11" s="84"/>
      <c r="N11" s="84"/>
      <c r="O11" s="84"/>
      <c r="P11" s="84"/>
      <c r="Q11" s="84"/>
      <c r="R11" s="84"/>
      <c r="S11" s="84"/>
      <c r="T11" s="84"/>
      <c r="U11" s="84"/>
      <c r="V11" s="84"/>
      <c r="W11" s="84"/>
      <c r="X11" s="84"/>
      <c r="Y11" s="84"/>
      <c r="Z11" s="84"/>
      <c r="AA11" s="84"/>
      <c r="AB11" s="84"/>
      <c r="AC11" s="91">
        <f>IF(COUNTBLANK(B11:AB11)=27,0,IF(AND(NOT(ISBLANK(B11)),ISBLANK(C11)),0,IF(SUM(D11:AB11)=0,1,0)))</f>
        <v>0</v>
      </c>
    </row>
    <row r="12" spans="1:29" ht="18" customHeight="1" x14ac:dyDescent="0.2">
      <c r="A12" s="105">
        <v>7</v>
      </c>
      <c r="B12" s="109" t="s">
        <v>90</v>
      </c>
      <c r="C12" s="110">
        <v>175</v>
      </c>
      <c r="D12" s="111" t="s">
        <v>83</v>
      </c>
      <c r="E12" s="112">
        <v>15</v>
      </c>
      <c r="F12" s="112">
        <f t="shared" si="0"/>
        <v>2625</v>
      </c>
      <c r="G12" s="110">
        <v>3</v>
      </c>
      <c r="H12" s="110">
        <v>3</v>
      </c>
      <c r="I12" s="84"/>
      <c r="J12" s="84"/>
      <c r="K12" s="84"/>
      <c r="L12" s="84"/>
      <c r="M12" s="84"/>
      <c r="N12" s="84"/>
      <c r="O12" s="84"/>
      <c r="P12" s="84"/>
      <c r="Q12" s="84"/>
      <c r="R12" s="84"/>
      <c r="S12" s="84"/>
      <c r="T12" s="84"/>
      <c r="U12" s="84"/>
      <c r="V12" s="84"/>
      <c r="W12" s="84"/>
      <c r="X12" s="84"/>
      <c r="Y12" s="84"/>
      <c r="Z12" s="84"/>
      <c r="AA12" s="84"/>
      <c r="AB12" s="84"/>
      <c r="AC12" s="91">
        <f>IF(COUNTBLANK(B12:AB12)=27,0,IF(AND(NOT(ISBLANK(B12)),ISBLANK(C12)),0,IF(SUM(D12:AB12)=0,1,0)))</f>
        <v>0</v>
      </c>
    </row>
    <row r="13" spans="1:29" ht="18" customHeight="1" x14ac:dyDescent="0.2">
      <c r="A13" s="105">
        <v>8</v>
      </c>
      <c r="B13" s="83" t="s">
        <v>91</v>
      </c>
      <c r="C13" s="106">
        <v>288</v>
      </c>
      <c r="D13" s="107" t="s">
        <v>92</v>
      </c>
      <c r="E13" s="108">
        <v>65</v>
      </c>
      <c r="F13" s="108">
        <f t="shared" si="0"/>
        <v>18720</v>
      </c>
      <c r="G13" s="106">
        <v>4</v>
      </c>
      <c r="H13" s="106">
        <v>7</v>
      </c>
      <c r="I13" s="84"/>
      <c r="J13" s="84"/>
      <c r="K13" s="84"/>
      <c r="L13" s="84"/>
      <c r="M13" s="84"/>
      <c r="N13" s="84"/>
      <c r="O13" s="84"/>
      <c r="P13" s="84"/>
      <c r="Q13" s="84"/>
      <c r="R13" s="84"/>
      <c r="S13" s="84"/>
      <c r="T13" s="84"/>
      <c r="U13" s="84"/>
      <c r="V13" s="84"/>
      <c r="W13" s="84"/>
      <c r="X13" s="84"/>
      <c r="Y13" s="84"/>
      <c r="Z13" s="84"/>
      <c r="AA13" s="84"/>
      <c r="AB13" s="84"/>
      <c r="AC13" s="91">
        <f>IF(COUNTBLANK(B13:AB13)=27,0,IF(AND(NOT(ISBLANK(B13)),ISBLANK(C13)),0,IF(SUM(D13:AB13)=0,1,0)))</f>
        <v>0</v>
      </c>
    </row>
    <row r="14" spans="1:29" ht="18" customHeight="1" x14ac:dyDescent="0.2">
      <c r="A14" s="105">
        <v>9</v>
      </c>
      <c r="B14" s="109" t="s">
        <v>93</v>
      </c>
      <c r="C14" s="110">
        <v>45</v>
      </c>
      <c r="D14" s="111" t="s">
        <v>92</v>
      </c>
      <c r="E14" s="112">
        <v>125</v>
      </c>
      <c r="F14" s="112">
        <f t="shared" si="0"/>
        <v>5625</v>
      </c>
      <c r="G14" s="110">
        <v>4</v>
      </c>
      <c r="H14" s="110">
        <v>7</v>
      </c>
      <c r="I14" s="84"/>
      <c r="J14" s="84"/>
      <c r="K14" s="84"/>
      <c r="L14" s="84"/>
      <c r="M14" s="84"/>
      <c r="N14" s="84"/>
      <c r="O14" s="84"/>
      <c r="P14" s="84"/>
      <c r="Q14" s="84"/>
      <c r="R14" s="84"/>
      <c r="S14" s="84"/>
      <c r="T14" s="84"/>
      <c r="U14" s="84"/>
      <c r="V14" s="84"/>
      <c r="W14" s="84"/>
      <c r="X14" s="84"/>
      <c r="Y14" s="84"/>
      <c r="Z14" s="84"/>
      <c r="AA14" s="84"/>
      <c r="AB14" s="84"/>
      <c r="AC14" s="91" t="s">
        <v>87</v>
      </c>
    </row>
    <row r="15" spans="1:29" ht="18" customHeight="1" x14ac:dyDescent="0.2">
      <c r="A15" s="105">
        <v>10</v>
      </c>
      <c r="B15" s="83" t="s">
        <v>94</v>
      </c>
      <c r="C15" s="106">
        <v>121</v>
      </c>
      <c r="D15" s="107" t="s">
        <v>92</v>
      </c>
      <c r="E15" s="108">
        <v>39</v>
      </c>
      <c r="F15" s="108">
        <f t="shared" si="0"/>
        <v>4719</v>
      </c>
      <c r="G15" s="106">
        <v>6</v>
      </c>
      <c r="H15" s="106">
        <v>6</v>
      </c>
      <c r="I15" s="84"/>
      <c r="J15" s="84"/>
      <c r="K15" s="84"/>
      <c r="L15" s="84"/>
      <c r="M15" s="84"/>
      <c r="N15" s="84"/>
      <c r="O15" s="84"/>
      <c r="P15" s="84"/>
      <c r="Q15" s="84"/>
      <c r="R15" s="84"/>
      <c r="S15" s="84"/>
      <c r="T15" s="84"/>
      <c r="U15" s="84"/>
      <c r="V15" s="84"/>
      <c r="W15" s="84"/>
      <c r="X15" s="84"/>
      <c r="Y15" s="84"/>
      <c r="Z15" s="84"/>
      <c r="AA15" s="84"/>
      <c r="AB15" s="84"/>
      <c r="AC15" s="91">
        <f>IF(COUNTBLANK(B15:AB15)=27,0,IF(AND(NOT(ISBLANK(B15)),ISBLANK(C15)),0,IF(SUM(D15:AB15)=0,1,0)))</f>
        <v>0</v>
      </c>
    </row>
    <row r="16" spans="1:29" ht="18" customHeight="1" x14ac:dyDescent="0.2">
      <c r="A16" s="105">
        <v>11</v>
      </c>
      <c r="B16" s="109" t="s">
        <v>95</v>
      </c>
      <c r="C16" s="110">
        <v>260</v>
      </c>
      <c r="D16" s="111" t="s">
        <v>96</v>
      </c>
      <c r="E16" s="112">
        <v>78</v>
      </c>
      <c r="F16" s="112">
        <f t="shared" si="0"/>
        <v>20280</v>
      </c>
      <c r="G16" s="110">
        <v>3</v>
      </c>
      <c r="H16" s="110">
        <v>10</v>
      </c>
      <c r="I16" s="84"/>
      <c r="J16" s="84"/>
      <c r="K16" s="84"/>
      <c r="L16" s="84"/>
      <c r="M16" s="84"/>
      <c r="N16" s="84"/>
      <c r="O16" s="84"/>
      <c r="P16" s="84"/>
      <c r="Q16" s="84"/>
      <c r="R16" s="84"/>
      <c r="S16" s="84"/>
      <c r="T16" s="84"/>
      <c r="U16" s="84"/>
      <c r="V16" s="84"/>
      <c r="W16" s="84"/>
      <c r="X16" s="84"/>
      <c r="Y16" s="84"/>
      <c r="Z16" s="84"/>
      <c r="AA16" s="84"/>
      <c r="AB16" s="84"/>
      <c r="AC16" s="91">
        <f t="shared" ref="AC16:AC63" si="1">IF(COUNTBLANK(B16:AB16)=27,0,IF(AND(NOT(ISBLANK(B16)),ISBLANK(C16)),0,IF(SUM(D16:AB16)=0,1,0)))</f>
        <v>0</v>
      </c>
    </row>
    <row r="17" spans="1:29" ht="18" customHeight="1" x14ac:dyDescent="0.25">
      <c r="A17" s="142">
        <v>12</v>
      </c>
      <c r="B17" s="103" t="s">
        <v>97</v>
      </c>
      <c r="C17" s="103"/>
      <c r="D17" s="103"/>
      <c r="E17" s="113"/>
      <c r="F17" s="113"/>
      <c r="G17" s="103"/>
      <c r="H17" s="103"/>
      <c r="I17" s="103"/>
      <c r="AC17" s="91">
        <f t="shared" si="1"/>
        <v>0</v>
      </c>
    </row>
    <row r="18" spans="1:29" ht="18" customHeight="1" x14ac:dyDescent="0.2">
      <c r="A18" s="105">
        <v>13</v>
      </c>
      <c r="B18" s="109" t="s">
        <v>98</v>
      </c>
      <c r="C18" s="110">
        <v>6</v>
      </c>
      <c r="D18" s="111" t="s">
        <v>85</v>
      </c>
      <c r="E18" s="112">
        <v>1200</v>
      </c>
      <c r="F18" s="112">
        <f>C18*E18</f>
        <v>7200</v>
      </c>
      <c r="G18" s="110">
        <v>5</v>
      </c>
      <c r="H18" s="110">
        <v>8</v>
      </c>
      <c r="I18" s="84"/>
      <c r="J18" s="84"/>
      <c r="K18" s="84"/>
      <c r="L18" s="84"/>
      <c r="M18" s="84"/>
      <c r="N18" s="84"/>
      <c r="O18" s="84"/>
      <c r="P18" s="84"/>
      <c r="Q18" s="84"/>
      <c r="R18" s="84"/>
      <c r="S18" s="84"/>
      <c r="T18" s="84"/>
      <c r="U18" s="84"/>
      <c r="V18" s="84"/>
      <c r="W18" s="84"/>
      <c r="X18" s="84"/>
      <c r="Y18" s="84"/>
      <c r="Z18" s="84"/>
      <c r="AA18" s="84"/>
      <c r="AB18" s="84"/>
      <c r="AC18" s="91">
        <f t="shared" si="1"/>
        <v>0</v>
      </c>
    </row>
    <row r="19" spans="1:29" ht="18" customHeight="1" x14ac:dyDescent="0.2">
      <c r="A19" s="105">
        <v>14</v>
      </c>
      <c r="B19" s="83" t="s">
        <v>99</v>
      </c>
      <c r="C19" s="106">
        <v>1</v>
      </c>
      <c r="D19" s="107" t="s">
        <v>96</v>
      </c>
      <c r="E19" s="108">
        <v>3300</v>
      </c>
      <c r="F19" s="108">
        <f>C19*E19</f>
        <v>3300</v>
      </c>
      <c r="G19" s="106">
        <v>2</v>
      </c>
      <c r="H19" s="106">
        <v>2</v>
      </c>
      <c r="I19" s="84"/>
      <c r="J19" s="84"/>
      <c r="K19" s="84"/>
      <c r="L19" s="84"/>
      <c r="M19" s="84"/>
      <c r="N19" s="84"/>
      <c r="O19" s="84"/>
      <c r="P19" s="84"/>
      <c r="Q19" s="84"/>
      <c r="R19" s="84"/>
      <c r="S19" s="84"/>
      <c r="T19" s="84"/>
      <c r="U19" s="84"/>
      <c r="V19" s="84"/>
      <c r="W19" s="84"/>
      <c r="X19" s="84"/>
      <c r="Y19" s="84"/>
      <c r="Z19" s="84"/>
      <c r="AA19" s="84"/>
      <c r="AB19" s="84"/>
      <c r="AC19" s="91">
        <f t="shared" si="1"/>
        <v>0</v>
      </c>
    </row>
    <row r="20" spans="1:29" ht="18" customHeight="1" x14ac:dyDescent="0.25">
      <c r="A20" s="142">
        <v>15</v>
      </c>
      <c r="B20" s="103" t="s">
        <v>100</v>
      </c>
      <c r="C20" s="103"/>
      <c r="D20" s="103"/>
      <c r="E20" s="113"/>
      <c r="F20" s="113"/>
      <c r="G20" s="103"/>
      <c r="H20" s="103"/>
      <c r="I20" s="103"/>
      <c r="AC20" s="91">
        <f t="shared" si="1"/>
        <v>0</v>
      </c>
    </row>
    <row r="21" spans="1:29" ht="18" customHeight="1" x14ac:dyDescent="0.2">
      <c r="A21" s="105">
        <v>16</v>
      </c>
      <c r="B21" s="83" t="s">
        <v>101</v>
      </c>
      <c r="C21" s="106">
        <v>120</v>
      </c>
      <c r="D21" s="107" t="s">
        <v>83</v>
      </c>
      <c r="E21" s="108">
        <v>88</v>
      </c>
      <c r="F21" s="108">
        <f>C21*E21</f>
        <v>10560</v>
      </c>
      <c r="G21" s="106">
        <v>5</v>
      </c>
      <c r="H21" s="106">
        <v>7</v>
      </c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91">
        <f t="shared" si="1"/>
        <v>0</v>
      </c>
    </row>
    <row r="22" spans="1:29" ht="18" customHeight="1" x14ac:dyDescent="0.2">
      <c r="A22" s="105">
        <v>17</v>
      </c>
      <c r="B22" s="109" t="s">
        <v>102</v>
      </c>
      <c r="C22" s="110">
        <v>20</v>
      </c>
      <c r="D22" s="111" t="s">
        <v>85</v>
      </c>
      <c r="E22" s="112">
        <v>166</v>
      </c>
      <c r="F22" s="112">
        <f>C22*E22</f>
        <v>3320</v>
      </c>
      <c r="G22" s="110">
        <v>3</v>
      </c>
      <c r="H22" s="110">
        <v>4</v>
      </c>
      <c r="I22" s="84"/>
      <c r="J22" s="84"/>
      <c r="K22" s="84"/>
      <c r="L22" s="84"/>
      <c r="M22" s="84"/>
      <c r="N22" s="84"/>
      <c r="O22" s="84"/>
      <c r="P22" s="84"/>
      <c r="Q22" s="84"/>
      <c r="R22" s="84"/>
      <c r="S22" s="84"/>
      <c r="T22" s="84"/>
      <c r="U22" s="84"/>
      <c r="V22" s="84"/>
      <c r="W22" s="84"/>
      <c r="X22" s="84"/>
      <c r="Y22" s="84"/>
      <c r="Z22" s="84"/>
      <c r="AA22" s="84"/>
      <c r="AB22" s="84"/>
      <c r="AC22" s="91">
        <f t="shared" si="1"/>
        <v>0</v>
      </c>
    </row>
    <row r="23" spans="1:29" ht="18" customHeight="1" x14ac:dyDescent="0.2">
      <c r="A23" s="105">
        <v>18</v>
      </c>
      <c r="B23" s="83" t="s">
        <v>103</v>
      </c>
      <c r="C23" s="106">
        <v>3252</v>
      </c>
      <c r="D23" s="107" t="s">
        <v>104</v>
      </c>
      <c r="E23" s="108">
        <v>18</v>
      </c>
      <c r="F23" s="108">
        <f>C23*E23</f>
        <v>58536</v>
      </c>
      <c r="G23" s="106">
        <v>4</v>
      </c>
      <c r="H23" s="106">
        <v>7</v>
      </c>
      <c r="I23" s="84"/>
      <c r="J23" s="84"/>
      <c r="K23" s="84"/>
      <c r="L23" s="84"/>
      <c r="M23" s="84"/>
      <c r="N23" s="84"/>
      <c r="O23" s="84"/>
      <c r="P23" s="84"/>
      <c r="Q23" s="84"/>
      <c r="R23" s="84"/>
      <c r="S23" s="84"/>
      <c r="T23" s="84"/>
      <c r="U23" s="84"/>
      <c r="V23" s="84"/>
      <c r="W23" s="84"/>
      <c r="X23" s="84"/>
      <c r="Y23" s="84"/>
      <c r="Z23" s="84"/>
      <c r="AA23" s="84"/>
      <c r="AB23" s="84"/>
      <c r="AC23" s="91">
        <f t="shared" si="1"/>
        <v>0</v>
      </c>
    </row>
    <row r="24" spans="1:29" ht="18" customHeight="1" x14ac:dyDescent="0.2">
      <c r="A24" s="105">
        <v>19</v>
      </c>
      <c r="B24" s="109" t="s">
        <v>105</v>
      </c>
      <c r="C24" s="110">
        <v>15</v>
      </c>
      <c r="D24" s="111" t="s">
        <v>96</v>
      </c>
      <c r="E24" s="112">
        <v>225</v>
      </c>
      <c r="F24" s="112">
        <f>C24*E24</f>
        <v>3375</v>
      </c>
      <c r="G24" s="110">
        <v>3</v>
      </c>
      <c r="H24" s="110">
        <v>4</v>
      </c>
      <c r="I24" s="84"/>
      <c r="J24" s="84"/>
      <c r="K24" s="84"/>
      <c r="L24" s="84"/>
      <c r="M24" s="84"/>
      <c r="N24" s="84"/>
      <c r="O24" s="84"/>
      <c r="P24" s="84"/>
      <c r="Q24" s="84"/>
      <c r="R24" s="84"/>
      <c r="S24" s="84"/>
      <c r="T24" s="84"/>
      <c r="U24" s="84"/>
      <c r="V24" s="84"/>
      <c r="W24" s="84"/>
      <c r="X24" s="84"/>
      <c r="Y24" s="84"/>
      <c r="Z24" s="84"/>
      <c r="AA24" s="84"/>
      <c r="AB24" s="84"/>
      <c r="AC24" s="91">
        <f t="shared" si="1"/>
        <v>0</v>
      </c>
    </row>
    <row r="25" spans="1:29" ht="18" customHeight="1" x14ac:dyDescent="0.2">
      <c r="A25" s="105">
        <v>20</v>
      </c>
      <c r="B25" s="83" t="s">
        <v>106</v>
      </c>
      <c r="C25" s="106">
        <v>8</v>
      </c>
      <c r="D25" s="107" t="s">
        <v>96</v>
      </c>
      <c r="E25" s="108">
        <v>325</v>
      </c>
      <c r="F25" s="108">
        <f>C25*E25</f>
        <v>2600</v>
      </c>
      <c r="G25" s="106">
        <v>3</v>
      </c>
      <c r="H25" s="106">
        <v>5</v>
      </c>
      <c r="I25" s="84"/>
      <c r="J25" s="84"/>
      <c r="K25" s="84"/>
      <c r="L25" s="84"/>
      <c r="M25" s="84"/>
      <c r="N25" s="84"/>
      <c r="O25" s="84"/>
      <c r="P25" s="84"/>
      <c r="Q25" s="84"/>
      <c r="R25" s="84"/>
      <c r="S25" s="84"/>
      <c r="T25" s="84"/>
      <c r="U25" s="84"/>
      <c r="V25" s="84"/>
      <c r="W25" s="84"/>
      <c r="X25" s="84"/>
      <c r="Y25" s="84"/>
      <c r="Z25" s="84"/>
      <c r="AA25" s="84"/>
      <c r="AB25" s="84"/>
      <c r="AC25" s="91">
        <f t="shared" si="1"/>
        <v>0</v>
      </c>
    </row>
    <row r="26" spans="1:29" ht="18" customHeight="1" x14ac:dyDescent="0.25">
      <c r="A26" s="142">
        <v>21</v>
      </c>
      <c r="B26" s="103" t="s">
        <v>107</v>
      </c>
      <c r="C26" s="103"/>
      <c r="D26" s="103"/>
      <c r="E26" s="113"/>
      <c r="F26" s="113"/>
      <c r="G26" s="103"/>
      <c r="H26" s="103"/>
      <c r="I26" s="103"/>
      <c r="AC26" s="91">
        <f t="shared" si="1"/>
        <v>0</v>
      </c>
    </row>
    <row r="27" spans="1:29" ht="18" customHeight="1" x14ac:dyDescent="0.2">
      <c r="A27" s="105">
        <v>22</v>
      </c>
      <c r="B27" s="83" t="s">
        <v>108</v>
      </c>
      <c r="C27" s="106">
        <v>2</v>
      </c>
      <c r="D27" s="107" t="s">
        <v>85</v>
      </c>
      <c r="E27" s="108">
        <v>1200</v>
      </c>
      <c r="F27" s="108">
        <f>C27*E27</f>
        <v>2400</v>
      </c>
      <c r="G27" s="106">
        <v>5</v>
      </c>
      <c r="H27" s="106">
        <v>8</v>
      </c>
      <c r="I27" s="84"/>
      <c r="J27" s="84"/>
      <c r="K27" s="84"/>
      <c r="L27" s="84"/>
      <c r="M27" s="84"/>
      <c r="N27" s="84"/>
      <c r="O27" s="84"/>
      <c r="P27" s="84"/>
      <c r="Q27" s="84"/>
      <c r="R27" s="84"/>
      <c r="S27" s="84"/>
      <c r="T27" s="84"/>
      <c r="U27" s="84"/>
      <c r="V27" s="84"/>
      <c r="W27" s="84"/>
      <c r="X27" s="84"/>
      <c r="Y27" s="84"/>
      <c r="Z27" s="84"/>
      <c r="AA27" s="84"/>
      <c r="AB27" s="84"/>
      <c r="AC27" s="91">
        <f t="shared" si="1"/>
        <v>0</v>
      </c>
    </row>
    <row r="28" spans="1:29" ht="18" customHeight="1" x14ac:dyDescent="0.2">
      <c r="A28" s="105">
        <v>23</v>
      </c>
      <c r="B28" s="109" t="s">
        <v>109</v>
      </c>
      <c r="C28" s="110">
        <v>1</v>
      </c>
      <c r="D28" s="111" t="s">
        <v>96</v>
      </c>
      <c r="E28" s="112">
        <v>3252</v>
      </c>
      <c r="F28" s="112">
        <f>C28*E28</f>
        <v>3252</v>
      </c>
      <c r="G28" s="110">
        <v>4</v>
      </c>
      <c r="H28" s="110">
        <v>6</v>
      </c>
      <c r="I28" s="84"/>
      <c r="J28" s="84"/>
      <c r="K28" s="84"/>
      <c r="L28" s="84"/>
      <c r="M28" s="84"/>
      <c r="N28" s="84"/>
      <c r="O28" s="84"/>
      <c r="P28" s="84"/>
      <c r="Q28" s="84"/>
      <c r="R28" s="84"/>
      <c r="S28" s="84"/>
      <c r="T28" s="84"/>
      <c r="U28" s="84"/>
      <c r="V28" s="84"/>
      <c r="W28" s="84"/>
      <c r="X28" s="84"/>
      <c r="Y28" s="84"/>
      <c r="Z28" s="84"/>
      <c r="AA28" s="84"/>
      <c r="AB28" s="84"/>
      <c r="AC28" s="91">
        <f t="shared" si="1"/>
        <v>0</v>
      </c>
    </row>
    <row r="29" spans="1:29" ht="18" customHeight="1" x14ac:dyDescent="0.25">
      <c r="A29" s="142">
        <v>24</v>
      </c>
      <c r="B29" s="103" t="s">
        <v>110</v>
      </c>
      <c r="C29" s="103"/>
      <c r="D29" s="103"/>
      <c r="E29" s="113"/>
      <c r="F29" s="113"/>
      <c r="G29" s="103"/>
      <c r="H29" s="103"/>
      <c r="I29" s="103"/>
      <c r="AC29" s="91">
        <f t="shared" si="1"/>
        <v>0</v>
      </c>
    </row>
    <row r="30" spans="1:29" ht="18" customHeight="1" x14ac:dyDescent="0.2">
      <c r="A30" s="105">
        <v>25</v>
      </c>
      <c r="B30" s="109" t="s">
        <v>111</v>
      </c>
      <c r="C30" s="110">
        <v>3</v>
      </c>
      <c r="D30" s="111" t="s">
        <v>85</v>
      </c>
      <c r="E30" s="112">
        <v>5520</v>
      </c>
      <c r="F30" s="112">
        <f>C30*E30</f>
        <v>16560</v>
      </c>
      <c r="G30" s="110">
        <v>3</v>
      </c>
      <c r="H30" s="110">
        <v>3</v>
      </c>
      <c r="I30" s="84"/>
      <c r="J30" s="84"/>
      <c r="K30" s="84"/>
      <c r="L30" s="84"/>
      <c r="M30" s="84"/>
      <c r="N30" s="84"/>
      <c r="O30" s="84"/>
      <c r="P30" s="84"/>
      <c r="Q30" s="84"/>
      <c r="R30" s="84"/>
      <c r="S30" s="84"/>
      <c r="T30" s="84"/>
      <c r="U30" s="84"/>
      <c r="V30" s="84"/>
      <c r="W30" s="84"/>
      <c r="X30" s="84"/>
      <c r="Y30" s="84"/>
      <c r="Z30" s="84"/>
      <c r="AA30" s="84"/>
      <c r="AB30" s="84"/>
      <c r="AC30" s="91">
        <f t="shared" si="1"/>
        <v>0</v>
      </c>
    </row>
    <row r="31" spans="1:29" ht="18" customHeight="1" x14ac:dyDescent="0.2">
      <c r="A31" s="105">
        <v>26</v>
      </c>
      <c r="B31" s="83" t="s">
        <v>112</v>
      </c>
      <c r="C31" s="106">
        <v>2</v>
      </c>
      <c r="D31" s="107" t="s">
        <v>113</v>
      </c>
      <c r="E31" s="108">
        <v>1245</v>
      </c>
      <c r="F31" s="108">
        <f>C31*E31</f>
        <v>2490</v>
      </c>
      <c r="G31" s="106">
        <v>4</v>
      </c>
      <c r="H31" s="106">
        <v>6</v>
      </c>
      <c r="I31" s="84"/>
      <c r="J31" s="84"/>
      <c r="K31" s="84"/>
      <c r="L31" s="84"/>
      <c r="M31" s="84"/>
      <c r="N31" s="84"/>
      <c r="O31" s="84"/>
      <c r="P31" s="84"/>
      <c r="Q31" s="84"/>
      <c r="R31" s="84"/>
      <c r="S31" s="84"/>
      <c r="T31" s="84"/>
      <c r="U31" s="84"/>
      <c r="V31" s="84"/>
      <c r="W31" s="84"/>
      <c r="X31" s="84"/>
      <c r="Y31" s="84"/>
      <c r="Z31" s="84"/>
      <c r="AA31" s="84"/>
      <c r="AB31" s="84"/>
      <c r="AC31" s="91">
        <f t="shared" si="1"/>
        <v>0</v>
      </c>
    </row>
    <row r="32" spans="1:29" ht="18" customHeight="1" x14ac:dyDescent="0.2">
      <c r="A32" s="105">
        <v>27</v>
      </c>
      <c r="B32" s="109" t="s">
        <v>114</v>
      </c>
      <c r="C32" s="110">
        <v>3</v>
      </c>
      <c r="D32" s="111" t="s">
        <v>115</v>
      </c>
      <c r="E32" s="112">
        <v>4800</v>
      </c>
      <c r="F32" s="112">
        <f>C32*E32</f>
        <v>14400</v>
      </c>
      <c r="G32" s="110">
        <v>9</v>
      </c>
      <c r="H32" s="110">
        <v>10</v>
      </c>
      <c r="I32" s="84"/>
      <c r="J32" s="84"/>
      <c r="K32" s="84"/>
      <c r="L32" s="84"/>
      <c r="M32" s="84"/>
      <c r="N32" s="84"/>
      <c r="O32" s="84"/>
      <c r="P32" s="84"/>
      <c r="Q32" s="84"/>
      <c r="R32" s="84"/>
      <c r="S32" s="84"/>
      <c r="T32" s="84"/>
      <c r="U32" s="84"/>
      <c r="V32" s="84"/>
      <c r="W32" s="84"/>
      <c r="X32" s="84"/>
      <c r="Y32" s="84"/>
      <c r="Z32" s="84"/>
      <c r="AA32" s="84"/>
      <c r="AB32" s="84"/>
      <c r="AC32" s="91">
        <f t="shared" si="1"/>
        <v>0</v>
      </c>
    </row>
    <row r="33" spans="1:29" ht="18" customHeight="1" x14ac:dyDescent="0.2">
      <c r="A33" s="105">
        <v>28</v>
      </c>
      <c r="B33" s="83" t="s">
        <v>116</v>
      </c>
      <c r="C33" s="106">
        <v>1</v>
      </c>
      <c r="D33" s="107" t="s">
        <v>115</v>
      </c>
      <c r="E33" s="108">
        <v>2216</v>
      </c>
      <c r="F33" s="108">
        <f>C33*E33</f>
        <v>2216</v>
      </c>
      <c r="G33" s="106">
        <v>3</v>
      </c>
      <c r="H33" s="106">
        <v>3</v>
      </c>
      <c r="I33" s="84"/>
      <c r="J33" s="84"/>
      <c r="K33" s="84"/>
      <c r="L33" s="84"/>
      <c r="M33" s="84"/>
      <c r="N33" s="84"/>
      <c r="O33" s="84"/>
      <c r="P33" s="84"/>
      <c r="Q33" s="84"/>
      <c r="R33" s="84"/>
      <c r="S33" s="84"/>
      <c r="T33" s="84"/>
      <c r="U33" s="84"/>
      <c r="V33" s="84"/>
      <c r="W33" s="84"/>
      <c r="X33" s="84"/>
      <c r="Y33" s="84"/>
      <c r="Z33" s="84"/>
      <c r="AA33" s="84"/>
      <c r="AB33" s="84"/>
      <c r="AC33" s="91">
        <f t="shared" si="1"/>
        <v>0</v>
      </c>
    </row>
    <row r="34" spans="1:29" ht="18" customHeight="1" x14ac:dyDescent="0.2">
      <c r="A34" s="105">
        <v>29</v>
      </c>
      <c r="B34" s="109" t="s">
        <v>117</v>
      </c>
      <c r="C34" s="110">
        <v>1</v>
      </c>
      <c r="D34" s="111" t="s">
        <v>115</v>
      </c>
      <c r="E34" s="112">
        <v>1950</v>
      </c>
      <c r="F34" s="112">
        <f>C34*E34</f>
        <v>1950</v>
      </c>
      <c r="G34" s="110">
        <v>3</v>
      </c>
      <c r="H34" s="110">
        <v>3</v>
      </c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91">
        <f t="shared" si="1"/>
        <v>0</v>
      </c>
    </row>
    <row r="35" spans="1:29" ht="18" customHeight="1" x14ac:dyDescent="0.25">
      <c r="A35" s="142">
        <v>30</v>
      </c>
      <c r="B35" s="103" t="s">
        <v>118</v>
      </c>
      <c r="C35" s="103"/>
      <c r="D35" s="103"/>
      <c r="E35" s="113"/>
      <c r="F35" s="113"/>
      <c r="G35" s="103"/>
      <c r="H35" s="103"/>
      <c r="I35" s="103"/>
      <c r="AC35" s="91">
        <f t="shared" si="1"/>
        <v>0</v>
      </c>
    </row>
    <row r="36" spans="1:29" ht="18" customHeight="1" x14ac:dyDescent="0.2">
      <c r="A36" s="105">
        <v>31</v>
      </c>
      <c r="B36" s="109" t="s">
        <v>119</v>
      </c>
      <c r="C36" s="110">
        <v>2</v>
      </c>
      <c r="D36" s="111" t="s">
        <v>104</v>
      </c>
      <c r="E36" s="112">
        <v>2154</v>
      </c>
      <c r="F36" s="112">
        <f>C36*E36</f>
        <v>4308</v>
      </c>
      <c r="G36" s="110">
        <v>5</v>
      </c>
      <c r="H36" s="110">
        <v>7</v>
      </c>
      <c r="I36" s="84"/>
      <c r="J36" s="84"/>
      <c r="K36" s="84"/>
      <c r="L36" s="84"/>
      <c r="M36" s="84"/>
      <c r="N36" s="84"/>
      <c r="O36" s="84"/>
      <c r="P36" s="84"/>
      <c r="Q36" s="84"/>
      <c r="R36" s="84"/>
      <c r="S36" s="84"/>
      <c r="T36" s="84"/>
      <c r="U36" s="84"/>
      <c r="V36" s="84"/>
      <c r="W36" s="84"/>
      <c r="X36" s="84"/>
      <c r="Y36" s="84"/>
      <c r="Z36" s="84"/>
      <c r="AA36" s="84"/>
      <c r="AB36" s="84"/>
      <c r="AC36" s="91">
        <f t="shared" si="1"/>
        <v>0</v>
      </c>
    </row>
    <row r="37" spans="1:29" ht="18" customHeight="1" x14ac:dyDescent="0.2">
      <c r="A37" s="105">
        <v>32</v>
      </c>
      <c r="B37" s="83" t="s">
        <v>120</v>
      </c>
      <c r="C37" s="106">
        <v>1</v>
      </c>
      <c r="D37" s="107" t="s">
        <v>96</v>
      </c>
      <c r="E37" s="108">
        <v>12000</v>
      </c>
      <c r="F37" s="108">
        <f>C37*E37</f>
        <v>12000</v>
      </c>
      <c r="G37" s="106">
        <v>10</v>
      </c>
      <c r="H37" s="106">
        <v>10</v>
      </c>
      <c r="I37" s="84"/>
      <c r="J37" s="84"/>
      <c r="K37" s="84"/>
      <c r="L37" s="84"/>
      <c r="M37" s="84"/>
      <c r="N37" s="84"/>
      <c r="O37" s="84"/>
      <c r="P37" s="84"/>
      <c r="Q37" s="84"/>
      <c r="R37" s="84"/>
      <c r="S37" s="84"/>
      <c r="T37" s="84"/>
      <c r="U37" s="84"/>
      <c r="V37" s="84"/>
      <c r="W37" s="84"/>
      <c r="X37" s="84"/>
      <c r="Y37" s="84"/>
      <c r="Z37" s="84"/>
      <c r="AA37" s="84"/>
      <c r="AB37" s="84"/>
      <c r="AC37" s="91">
        <f t="shared" si="1"/>
        <v>0</v>
      </c>
    </row>
    <row r="38" spans="1:29" ht="18" customHeight="1" x14ac:dyDescent="0.25">
      <c r="A38" s="142">
        <v>33</v>
      </c>
      <c r="B38" s="103" t="s">
        <v>121</v>
      </c>
      <c r="C38" s="103"/>
      <c r="D38" s="103"/>
      <c r="E38" s="113"/>
      <c r="F38" s="113"/>
      <c r="G38" s="103"/>
      <c r="H38" s="103"/>
      <c r="I38" s="103"/>
      <c r="AC38" s="91">
        <f t="shared" si="1"/>
        <v>0</v>
      </c>
    </row>
    <row r="39" spans="1:29" ht="18" customHeight="1" x14ac:dyDescent="0.25">
      <c r="A39" s="142">
        <v>34</v>
      </c>
      <c r="B39" s="103" t="s">
        <v>122</v>
      </c>
      <c r="C39" s="103"/>
      <c r="D39" s="103"/>
      <c r="E39" s="113"/>
      <c r="F39" s="113"/>
      <c r="G39" s="103"/>
      <c r="H39" s="103"/>
      <c r="I39" s="103"/>
      <c r="AC39" s="91">
        <f t="shared" si="1"/>
        <v>0</v>
      </c>
    </row>
    <row r="40" spans="1:29" ht="18" customHeight="1" x14ac:dyDescent="0.25">
      <c r="A40" s="142">
        <v>35</v>
      </c>
      <c r="B40" s="103" t="s">
        <v>123</v>
      </c>
      <c r="C40" s="103"/>
      <c r="D40" s="103"/>
      <c r="E40" s="113"/>
      <c r="F40" s="113"/>
      <c r="G40" s="103"/>
      <c r="H40" s="103"/>
      <c r="I40" s="103"/>
      <c r="AC40" s="91">
        <f t="shared" si="1"/>
        <v>0</v>
      </c>
    </row>
    <row r="41" spans="1:29" ht="18" customHeight="1" x14ac:dyDescent="0.2">
      <c r="A41" s="105">
        <v>36</v>
      </c>
      <c r="B41" s="83" t="s">
        <v>124</v>
      </c>
      <c r="C41" s="106">
        <v>1</v>
      </c>
      <c r="D41" s="107" t="s">
        <v>83</v>
      </c>
      <c r="E41" s="108">
        <v>2500</v>
      </c>
      <c r="F41" s="108">
        <f>C41*E41</f>
        <v>2500</v>
      </c>
      <c r="G41" s="106">
        <v>3</v>
      </c>
      <c r="H41" s="106">
        <v>10</v>
      </c>
      <c r="I41" s="84"/>
      <c r="J41" s="84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4"/>
      <c r="W41" s="84"/>
      <c r="X41" s="84"/>
      <c r="Y41" s="84"/>
      <c r="Z41" s="84"/>
      <c r="AA41" s="84"/>
      <c r="AB41" s="84"/>
      <c r="AC41" s="91">
        <f t="shared" si="1"/>
        <v>0</v>
      </c>
    </row>
    <row r="42" spans="1:29" ht="18" customHeight="1" x14ac:dyDescent="0.2">
      <c r="A42" s="105">
        <v>37</v>
      </c>
      <c r="B42" s="109" t="s">
        <v>125</v>
      </c>
      <c r="C42" s="110">
        <v>5</v>
      </c>
      <c r="D42" s="111" t="s">
        <v>85</v>
      </c>
      <c r="E42" s="112">
        <v>1200</v>
      </c>
      <c r="F42" s="112">
        <f>C42*E42</f>
        <v>6000</v>
      </c>
      <c r="G42" s="110">
        <v>8</v>
      </c>
      <c r="H42" s="110">
        <v>10</v>
      </c>
      <c r="I42" s="84"/>
      <c r="J42" s="84"/>
      <c r="K42" s="84"/>
      <c r="L42" s="84"/>
      <c r="M42" s="84"/>
      <c r="N42" s="84"/>
      <c r="O42" s="84"/>
      <c r="P42" s="84"/>
      <c r="Q42" s="84"/>
      <c r="R42" s="84"/>
      <c r="S42" s="84"/>
      <c r="T42" s="84"/>
      <c r="U42" s="84"/>
      <c r="V42" s="84"/>
      <c r="W42" s="84"/>
      <c r="X42" s="84"/>
      <c r="Y42" s="84"/>
      <c r="Z42" s="84"/>
      <c r="AA42" s="84"/>
      <c r="AB42" s="84"/>
      <c r="AC42" s="91">
        <f t="shared" si="1"/>
        <v>0</v>
      </c>
    </row>
    <row r="43" spans="1:29" ht="18" customHeight="1" x14ac:dyDescent="0.25">
      <c r="A43" s="142">
        <v>38</v>
      </c>
      <c r="B43" s="103" t="s">
        <v>126</v>
      </c>
      <c r="C43" s="103"/>
      <c r="D43" s="103"/>
      <c r="E43" s="113"/>
      <c r="F43" s="113"/>
      <c r="G43" s="103"/>
      <c r="H43" s="103"/>
      <c r="I43" s="103"/>
      <c r="AC43" s="91">
        <f t="shared" si="1"/>
        <v>0</v>
      </c>
    </row>
    <row r="44" spans="1:29" ht="18" customHeight="1" x14ac:dyDescent="0.2">
      <c r="A44" s="105">
        <v>39</v>
      </c>
      <c r="B44" s="109" t="s">
        <v>127</v>
      </c>
      <c r="C44" s="110">
        <v>1</v>
      </c>
      <c r="D44" s="111" t="s">
        <v>83</v>
      </c>
      <c r="E44" s="112">
        <v>18500</v>
      </c>
      <c r="F44" s="112">
        <f>C44*E44</f>
        <v>18500</v>
      </c>
      <c r="G44" s="110">
        <v>9</v>
      </c>
      <c r="H44" s="110">
        <v>10</v>
      </c>
      <c r="I44" s="84"/>
      <c r="J44" s="84"/>
      <c r="K44" s="84"/>
      <c r="L44" s="84"/>
      <c r="M44" s="84"/>
      <c r="N44" s="84"/>
      <c r="O44" s="84"/>
      <c r="P44" s="84"/>
      <c r="Q44" s="84"/>
      <c r="R44" s="84"/>
      <c r="S44" s="84"/>
      <c r="T44" s="84"/>
      <c r="U44" s="84"/>
      <c r="V44" s="84"/>
      <c r="W44" s="84"/>
      <c r="X44" s="84"/>
      <c r="Y44" s="84"/>
      <c r="Z44" s="84"/>
      <c r="AA44" s="84"/>
      <c r="AB44" s="84"/>
      <c r="AC44" s="91">
        <f t="shared" si="1"/>
        <v>0</v>
      </c>
    </row>
    <row r="45" spans="1:29" ht="18" customHeight="1" x14ac:dyDescent="0.25">
      <c r="A45" s="142">
        <v>40</v>
      </c>
      <c r="B45" s="103" t="s">
        <v>128</v>
      </c>
      <c r="C45" s="103"/>
      <c r="D45" s="103"/>
      <c r="E45" s="113"/>
      <c r="F45" s="113"/>
      <c r="G45" s="103"/>
      <c r="H45" s="103"/>
      <c r="I45" s="103"/>
      <c r="AC45" s="91">
        <f t="shared" si="1"/>
        <v>0</v>
      </c>
    </row>
    <row r="46" spans="1:29" ht="18" customHeight="1" x14ac:dyDescent="0.2">
      <c r="A46" s="105">
        <v>41</v>
      </c>
      <c r="B46" s="109" t="s">
        <v>129</v>
      </c>
      <c r="C46" s="110">
        <v>2</v>
      </c>
      <c r="D46" s="111" t="s">
        <v>83</v>
      </c>
      <c r="E46" s="112">
        <v>2500</v>
      </c>
      <c r="F46" s="112">
        <f>C46*E46</f>
        <v>5000</v>
      </c>
      <c r="G46" s="110">
        <v>1</v>
      </c>
      <c r="H46" s="110">
        <v>3</v>
      </c>
      <c r="I46" s="84"/>
      <c r="J46" s="84"/>
      <c r="K46" s="84"/>
      <c r="L46" s="84"/>
      <c r="M46" s="84"/>
      <c r="N46" s="84"/>
      <c r="O46" s="84"/>
      <c r="P46" s="84"/>
      <c r="Q46" s="84"/>
      <c r="R46" s="84"/>
      <c r="S46" s="84"/>
      <c r="T46" s="84"/>
      <c r="U46" s="84"/>
      <c r="V46" s="84"/>
      <c r="W46" s="84"/>
      <c r="X46" s="84"/>
      <c r="Y46" s="84"/>
      <c r="Z46" s="84"/>
      <c r="AA46" s="84"/>
      <c r="AB46" s="84"/>
      <c r="AC46" s="91">
        <f t="shared" si="1"/>
        <v>0</v>
      </c>
    </row>
    <row r="47" spans="1:29" ht="18" customHeight="1" x14ac:dyDescent="0.2">
      <c r="A47" s="105">
        <v>42</v>
      </c>
      <c r="B47" s="83" t="s">
        <v>130</v>
      </c>
      <c r="C47" s="106">
        <v>2</v>
      </c>
      <c r="D47" s="107" t="s">
        <v>85</v>
      </c>
      <c r="E47" s="108">
        <v>1200</v>
      </c>
      <c r="F47" s="108">
        <f>C47*E47</f>
        <v>2400</v>
      </c>
      <c r="G47" s="106">
        <v>4</v>
      </c>
      <c r="H47" s="106">
        <v>5</v>
      </c>
      <c r="I47" s="84"/>
      <c r="J47" s="84"/>
      <c r="K47" s="84"/>
      <c r="L47" s="84"/>
      <c r="M47" s="84"/>
      <c r="N47" s="84"/>
      <c r="O47" s="84"/>
      <c r="P47" s="84"/>
      <c r="Q47" s="84"/>
      <c r="R47" s="84"/>
      <c r="S47" s="84"/>
      <c r="T47" s="84"/>
      <c r="U47" s="84"/>
      <c r="V47" s="84"/>
      <c r="W47" s="84"/>
      <c r="X47" s="84"/>
      <c r="Y47" s="84"/>
      <c r="Z47" s="84"/>
      <c r="AA47" s="84"/>
      <c r="AB47" s="84"/>
      <c r="AC47" s="91">
        <f t="shared" si="1"/>
        <v>0</v>
      </c>
    </row>
    <row r="48" spans="1:29" ht="18" customHeight="1" x14ac:dyDescent="0.25">
      <c r="A48" s="142">
        <v>43</v>
      </c>
      <c r="B48" s="103" t="s">
        <v>131</v>
      </c>
      <c r="C48" s="103"/>
      <c r="D48" s="103"/>
      <c r="E48" s="113"/>
      <c r="F48" s="113"/>
      <c r="G48" s="103"/>
      <c r="H48" s="103"/>
      <c r="I48" s="103"/>
      <c r="AC48" s="91">
        <f t="shared" si="1"/>
        <v>0</v>
      </c>
    </row>
    <row r="49" spans="1:29" ht="18" customHeight="1" x14ac:dyDescent="0.2">
      <c r="A49" s="105">
        <v>44</v>
      </c>
      <c r="B49" s="83" t="s">
        <v>132</v>
      </c>
      <c r="C49" s="106">
        <v>8</v>
      </c>
      <c r="D49" s="107" t="s">
        <v>83</v>
      </c>
      <c r="E49" s="108">
        <v>2500</v>
      </c>
      <c r="F49" s="108">
        <f>C49*E49</f>
        <v>20000</v>
      </c>
      <c r="G49" s="106">
        <v>7</v>
      </c>
      <c r="H49" s="106">
        <v>7</v>
      </c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91">
        <f t="shared" si="1"/>
        <v>0</v>
      </c>
    </row>
    <row r="50" spans="1:29" ht="18" customHeight="1" x14ac:dyDescent="0.2">
      <c r="A50" s="105">
        <v>45</v>
      </c>
      <c r="B50" s="109" t="s">
        <v>133</v>
      </c>
      <c r="C50" s="110">
        <v>4</v>
      </c>
      <c r="D50" s="111" t="s">
        <v>83</v>
      </c>
      <c r="E50" s="112">
        <v>1847</v>
      </c>
      <c r="F50" s="112">
        <f>C50*E50</f>
        <v>7388</v>
      </c>
      <c r="G50" s="110">
        <v>8</v>
      </c>
      <c r="H50" s="110">
        <v>10</v>
      </c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91">
        <f t="shared" si="1"/>
        <v>0</v>
      </c>
    </row>
    <row r="51" spans="1:29" ht="18" customHeight="1" x14ac:dyDescent="0.25">
      <c r="A51" s="142">
        <v>46</v>
      </c>
      <c r="B51" s="103" t="s">
        <v>134</v>
      </c>
      <c r="C51" s="103"/>
      <c r="D51" s="103"/>
      <c r="E51" s="113"/>
      <c r="F51" s="113"/>
      <c r="G51" s="103"/>
      <c r="H51" s="103"/>
      <c r="I51" s="103"/>
      <c r="AC51" s="91">
        <f t="shared" si="1"/>
        <v>0</v>
      </c>
    </row>
    <row r="52" spans="1:29" ht="18" customHeight="1" x14ac:dyDescent="0.25">
      <c r="A52" s="142">
        <v>47</v>
      </c>
      <c r="B52" s="103" t="s">
        <v>135</v>
      </c>
      <c r="C52" s="103"/>
      <c r="D52" s="103"/>
      <c r="E52" s="113"/>
      <c r="F52" s="113"/>
      <c r="G52" s="103"/>
      <c r="H52" s="103"/>
      <c r="I52" s="103"/>
      <c r="AC52" s="91">
        <f t="shared" si="1"/>
        <v>0</v>
      </c>
    </row>
    <row r="53" spans="1:29" ht="18" customHeight="1" x14ac:dyDescent="0.2">
      <c r="A53" s="105">
        <v>48</v>
      </c>
      <c r="B53" s="83" t="s">
        <v>136</v>
      </c>
      <c r="C53" s="106">
        <v>1</v>
      </c>
      <c r="D53" s="107" t="s">
        <v>85</v>
      </c>
      <c r="E53" s="108">
        <v>880</v>
      </c>
      <c r="F53" s="108">
        <f>C53*E53</f>
        <v>880</v>
      </c>
      <c r="G53" s="106">
        <v>4</v>
      </c>
      <c r="H53" s="106">
        <v>10</v>
      </c>
      <c r="I53" s="84"/>
      <c r="J53" s="84"/>
      <c r="K53" s="84"/>
      <c r="L53" s="84"/>
      <c r="M53" s="84"/>
      <c r="N53" s="84"/>
      <c r="O53" s="84"/>
      <c r="P53" s="84"/>
      <c r="Q53" s="84"/>
      <c r="R53" s="84"/>
      <c r="S53" s="84"/>
      <c r="T53" s="84"/>
      <c r="U53" s="84"/>
      <c r="V53" s="84"/>
      <c r="W53" s="84"/>
      <c r="X53" s="84"/>
      <c r="Y53" s="84"/>
      <c r="Z53" s="84"/>
      <c r="AA53" s="84"/>
      <c r="AB53" s="84"/>
      <c r="AC53" s="91">
        <f t="shared" si="1"/>
        <v>0</v>
      </c>
    </row>
    <row r="54" spans="1:29" ht="18" customHeight="1" x14ac:dyDescent="0.25">
      <c r="A54" s="142">
        <v>49</v>
      </c>
      <c r="B54" s="103" t="s">
        <v>137</v>
      </c>
      <c r="C54" s="103"/>
      <c r="D54" s="103"/>
      <c r="E54" s="113"/>
      <c r="F54" s="113"/>
      <c r="G54" s="114"/>
      <c r="H54" s="114"/>
      <c r="I54" s="103"/>
      <c r="AC54" s="91">
        <f t="shared" si="1"/>
        <v>0</v>
      </c>
    </row>
    <row r="55" spans="1:29" ht="18" customHeight="1" x14ac:dyDescent="0.2">
      <c r="A55" s="105">
        <v>50</v>
      </c>
      <c r="B55" s="83" t="s">
        <v>138</v>
      </c>
      <c r="C55" s="106">
        <v>12</v>
      </c>
      <c r="D55" s="107" t="s">
        <v>85</v>
      </c>
      <c r="E55" s="108">
        <v>425</v>
      </c>
      <c r="F55" s="108">
        <f>C55*E55</f>
        <v>5100</v>
      </c>
      <c r="G55" s="106">
        <v>7</v>
      </c>
      <c r="H55" s="106">
        <v>10</v>
      </c>
      <c r="I55" s="84"/>
      <c r="J55" s="84"/>
      <c r="K55" s="84"/>
      <c r="L55" s="84"/>
      <c r="M55" s="84"/>
      <c r="N55" s="84"/>
      <c r="O55" s="84"/>
      <c r="P55" s="84"/>
      <c r="Q55" s="84"/>
      <c r="R55" s="84"/>
      <c r="S55" s="84"/>
      <c r="T55" s="84"/>
      <c r="U55" s="84"/>
      <c r="V55" s="84"/>
      <c r="W55" s="84"/>
      <c r="X55" s="84"/>
      <c r="Y55" s="84"/>
      <c r="Z55" s="84"/>
      <c r="AA55" s="84"/>
      <c r="AB55" s="84"/>
      <c r="AC55" s="91">
        <f t="shared" si="1"/>
        <v>0</v>
      </c>
    </row>
    <row r="56" spans="1:29" ht="18" customHeight="1" x14ac:dyDescent="0.2">
      <c r="A56" s="105">
        <v>51</v>
      </c>
      <c r="B56" s="109" t="s">
        <v>139</v>
      </c>
      <c r="C56" s="110">
        <v>2</v>
      </c>
      <c r="D56" s="111" t="s">
        <v>83</v>
      </c>
      <c r="E56" s="112">
        <v>2958</v>
      </c>
      <c r="F56" s="112">
        <f>C56*E56</f>
        <v>5916</v>
      </c>
      <c r="G56" s="110">
        <v>6</v>
      </c>
      <c r="H56" s="110">
        <v>8</v>
      </c>
      <c r="I56" s="84"/>
      <c r="J56" s="84"/>
      <c r="K56" s="84"/>
      <c r="L56" s="84"/>
      <c r="M56" s="84"/>
      <c r="N56" s="84"/>
      <c r="O56" s="84"/>
      <c r="P56" s="84"/>
      <c r="Q56" s="84"/>
      <c r="R56" s="84"/>
      <c r="S56" s="84"/>
      <c r="T56" s="84"/>
      <c r="U56" s="84"/>
      <c r="V56" s="84"/>
      <c r="W56" s="84"/>
      <c r="X56" s="84"/>
      <c r="Y56" s="84"/>
      <c r="Z56" s="84"/>
      <c r="AA56" s="84"/>
      <c r="AB56" s="84"/>
      <c r="AC56" s="91">
        <f t="shared" si="1"/>
        <v>0</v>
      </c>
    </row>
    <row r="57" spans="1:29" ht="18" customHeight="1" x14ac:dyDescent="0.25">
      <c r="A57" s="142">
        <v>52</v>
      </c>
      <c r="B57" s="103" t="s">
        <v>140</v>
      </c>
      <c r="C57" s="114"/>
      <c r="D57" s="103"/>
      <c r="E57" s="113"/>
      <c r="F57" s="113"/>
      <c r="G57" s="114"/>
      <c r="H57" s="114"/>
      <c r="I57" s="103"/>
      <c r="AC57" s="91">
        <f t="shared" si="1"/>
        <v>0</v>
      </c>
    </row>
    <row r="58" spans="1:29" ht="18" customHeight="1" x14ac:dyDescent="0.2">
      <c r="A58" s="105">
        <v>53</v>
      </c>
      <c r="B58" s="109" t="s">
        <v>141</v>
      </c>
      <c r="C58" s="110">
        <v>3</v>
      </c>
      <c r="D58" s="111" t="s">
        <v>83</v>
      </c>
      <c r="E58" s="112">
        <v>23250</v>
      </c>
      <c r="F58" s="112">
        <f>C58*E58</f>
        <v>69750</v>
      </c>
      <c r="G58" s="110">
        <v>6</v>
      </c>
      <c r="H58" s="110">
        <v>8</v>
      </c>
      <c r="I58" s="84"/>
      <c r="J58" s="84"/>
      <c r="K58" s="84"/>
      <c r="L58" s="84"/>
      <c r="M58" s="84"/>
      <c r="N58" s="84"/>
      <c r="O58" s="84"/>
      <c r="P58" s="84"/>
      <c r="Q58" s="84"/>
      <c r="R58" s="84"/>
      <c r="S58" s="84"/>
      <c r="T58" s="84"/>
      <c r="U58" s="84"/>
      <c r="V58" s="84"/>
      <c r="W58" s="84"/>
      <c r="X58" s="84"/>
      <c r="Y58" s="84"/>
      <c r="Z58" s="84"/>
      <c r="AA58" s="84"/>
      <c r="AB58" s="84"/>
      <c r="AC58" s="91">
        <f t="shared" si="1"/>
        <v>0</v>
      </c>
    </row>
    <row r="59" spans="1:29" ht="18" customHeight="1" x14ac:dyDescent="0.25">
      <c r="A59" s="142">
        <v>54</v>
      </c>
      <c r="B59" s="103" t="s">
        <v>142</v>
      </c>
      <c r="C59" s="114"/>
      <c r="D59" s="103"/>
      <c r="E59" s="113"/>
      <c r="F59" s="113"/>
      <c r="G59" s="114"/>
      <c r="H59" s="114"/>
      <c r="I59" s="103"/>
      <c r="AC59" s="91">
        <f t="shared" si="1"/>
        <v>0</v>
      </c>
    </row>
    <row r="60" spans="1:29" ht="18" customHeight="1" x14ac:dyDescent="0.2">
      <c r="A60" s="105">
        <v>55</v>
      </c>
      <c r="B60" s="109" t="s">
        <v>143</v>
      </c>
      <c r="C60" s="110">
        <v>2</v>
      </c>
      <c r="D60" s="111" t="s">
        <v>115</v>
      </c>
      <c r="E60" s="112">
        <v>3200</v>
      </c>
      <c r="F60" s="112">
        <f>C60*E60</f>
        <v>6400</v>
      </c>
      <c r="G60" s="110">
        <v>6</v>
      </c>
      <c r="H60" s="110">
        <v>8</v>
      </c>
      <c r="I60" s="84"/>
      <c r="J60" s="84"/>
      <c r="K60" s="84"/>
      <c r="L60" s="84"/>
      <c r="M60" s="84"/>
      <c r="N60" s="84"/>
      <c r="O60" s="84"/>
      <c r="P60" s="84"/>
      <c r="Q60" s="84"/>
      <c r="R60" s="84"/>
      <c r="S60" s="84"/>
      <c r="T60" s="84"/>
      <c r="U60" s="84"/>
      <c r="V60" s="84"/>
      <c r="W60" s="84"/>
      <c r="X60" s="84"/>
      <c r="Y60" s="84"/>
      <c r="Z60" s="84"/>
      <c r="AA60" s="84"/>
      <c r="AB60" s="84"/>
      <c r="AC60" s="91">
        <f t="shared" si="1"/>
        <v>0</v>
      </c>
    </row>
    <row r="61" spans="1:29" ht="18" customHeight="1" x14ac:dyDescent="0.2">
      <c r="A61" s="105">
        <v>56</v>
      </c>
      <c r="B61" s="83" t="s">
        <v>144</v>
      </c>
      <c r="C61" s="106">
        <v>3</v>
      </c>
      <c r="D61" s="107" t="s">
        <v>83</v>
      </c>
      <c r="E61" s="108">
        <v>2500</v>
      </c>
      <c r="F61" s="108">
        <f>C61*E61</f>
        <v>7500</v>
      </c>
      <c r="G61" s="106">
        <v>5</v>
      </c>
      <c r="H61" s="106">
        <v>6</v>
      </c>
      <c r="I61" s="84"/>
      <c r="J61" s="84"/>
      <c r="K61" s="84"/>
      <c r="L61" s="84"/>
      <c r="M61" s="84"/>
      <c r="N61" s="84"/>
      <c r="O61" s="84"/>
      <c r="P61" s="84"/>
      <c r="Q61" s="84"/>
      <c r="R61" s="84"/>
      <c r="S61" s="84"/>
      <c r="T61" s="84"/>
      <c r="U61" s="84"/>
      <c r="V61" s="84"/>
      <c r="W61" s="84"/>
      <c r="X61" s="84"/>
      <c r="Y61" s="84"/>
      <c r="Z61" s="84"/>
      <c r="AA61" s="84"/>
      <c r="AB61" s="84"/>
      <c r="AC61" s="91">
        <f t="shared" si="1"/>
        <v>0</v>
      </c>
    </row>
    <row r="62" spans="1:29" ht="18" customHeight="1" x14ac:dyDescent="0.25">
      <c r="A62" s="142">
        <v>57</v>
      </c>
      <c r="B62" s="103" t="s">
        <v>145</v>
      </c>
      <c r="C62" s="103"/>
      <c r="D62" s="103"/>
      <c r="E62" s="103"/>
      <c r="F62" s="103"/>
      <c r="G62" s="103"/>
      <c r="H62" s="103"/>
      <c r="I62" s="103"/>
      <c r="AC62" s="91">
        <f t="shared" si="1"/>
        <v>0</v>
      </c>
    </row>
    <row r="63" spans="1:29" ht="18" customHeight="1" x14ac:dyDescent="0.25">
      <c r="A63" s="142">
        <v>58</v>
      </c>
      <c r="B63" s="103" t="s">
        <v>146</v>
      </c>
      <c r="C63" s="103"/>
      <c r="D63" s="103"/>
      <c r="E63" s="103"/>
      <c r="F63" s="113">
        <f>SUM(F7:F62)</f>
        <v>410670</v>
      </c>
      <c r="G63" s="103"/>
      <c r="H63" s="103"/>
      <c r="I63" s="103"/>
      <c r="AC63" s="91">
        <f t="shared" si="1"/>
        <v>0</v>
      </c>
    </row>
    <row r="64" spans="1:29" ht="18" customHeight="1" x14ac:dyDescent="0.2">
      <c r="C64" s="3"/>
      <c r="E64" s="3"/>
      <c r="F64" s="3"/>
      <c r="G64" s="3"/>
      <c r="H64" s="3"/>
      <c r="J64" s="84"/>
      <c r="K64" s="84"/>
      <c r="L64" s="84"/>
      <c r="M64" s="84"/>
      <c r="N64" s="84"/>
      <c r="O64" s="84"/>
      <c r="P64" s="84"/>
      <c r="Q64" s="84"/>
      <c r="R64" s="84"/>
      <c r="S64" s="84"/>
      <c r="T64" s="84"/>
      <c r="U64" s="84"/>
      <c r="V64" s="84"/>
      <c r="W64" s="84"/>
      <c r="X64" s="84"/>
      <c r="Y64" s="84"/>
      <c r="Z64" s="84"/>
      <c r="AA64" s="84"/>
      <c r="AB64" s="84"/>
      <c r="AC64" s="84"/>
    </row>
    <row r="65" spans="3:29" ht="18" customHeight="1" x14ac:dyDescent="0.2">
      <c r="C65" s="3"/>
      <c r="E65" s="3"/>
      <c r="F65" s="3"/>
      <c r="G65" s="3"/>
      <c r="H65" s="3"/>
      <c r="J65" s="84"/>
      <c r="K65" s="84"/>
      <c r="L65" s="84"/>
      <c r="M65" s="84"/>
      <c r="N65" s="84"/>
      <c r="O65" s="84"/>
      <c r="P65" s="84"/>
      <c r="Q65" s="84"/>
      <c r="R65" s="84"/>
      <c r="S65" s="84"/>
      <c r="T65" s="84"/>
      <c r="U65" s="84"/>
      <c r="V65" s="84"/>
      <c r="W65" s="84"/>
      <c r="X65" s="84"/>
      <c r="Y65" s="84"/>
      <c r="Z65" s="84"/>
      <c r="AA65" s="84"/>
      <c r="AB65" s="84"/>
      <c r="AC65" s="84"/>
    </row>
    <row r="66" spans="3:29" ht="18" customHeight="1" x14ac:dyDescent="0.2">
      <c r="C66" s="3"/>
      <c r="E66" s="3"/>
      <c r="F66" s="3"/>
      <c r="G66" s="3"/>
      <c r="H66" s="3"/>
      <c r="J66" s="84"/>
      <c r="K66" s="84"/>
      <c r="L66" s="84"/>
      <c r="M66" s="84"/>
      <c r="N66" s="84"/>
      <c r="O66" s="84"/>
      <c r="P66" s="84"/>
      <c r="Q66" s="84"/>
      <c r="R66" s="84"/>
      <c r="S66" s="84"/>
      <c r="T66" s="84"/>
      <c r="U66" s="84"/>
      <c r="V66" s="84"/>
      <c r="W66" s="84"/>
      <c r="X66" s="84"/>
      <c r="Y66" s="84"/>
      <c r="Z66" s="84"/>
      <c r="AA66" s="84"/>
      <c r="AB66" s="84"/>
      <c r="AC66" s="84"/>
    </row>
    <row r="67" spans="3:29" ht="18" customHeight="1" x14ac:dyDescent="0.2">
      <c r="C67" s="3"/>
      <c r="E67" s="3"/>
      <c r="F67" s="3"/>
      <c r="G67" s="3"/>
      <c r="H67" s="3"/>
      <c r="J67" s="84"/>
      <c r="K67" s="84"/>
      <c r="L67" s="84"/>
      <c r="M67" s="84"/>
      <c r="N67" s="84"/>
      <c r="O67" s="84"/>
      <c r="P67" s="84"/>
      <c r="Q67" s="84"/>
      <c r="R67" s="84"/>
      <c r="S67" s="84"/>
      <c r="T67" s="84"/>
      <c r="U67" s="84"/>
      <c r="V67" s="84"/>
      <c r="W67" s="84"/>
      <c r="X67" s="84"/>
      <c r="Y67" s="84"/>
      <c r="Z67" s="84"/>
      <c r="AA67" s="84"/>
      <c r="AB67" s="84"/>
      <c r="AC67" s="84"/>
    </row>
    <row r="68" spans="3:29" ht="18" customHeight="1" x14ac:dyDescent="0.2">
      <c r="C68" s="3"/>
      <c r="E68" s="3"/>
      <c r="F68" s="3"/>
      <c r="G68" s="3"/>
      <c r="H68" s="3"/>
      <c r="J68" s="84"/>
      <c r="K68" s="84"/>
      <c r="L68" s="84"/>
      <c r="M68" s="84"/>
      <c r="N68" s="84"/>
      <c r="O68" s="84"/>
      <c r="P68" s="84"/>
      <c r="Q68" s="84"/>
      <c r="R68" s="84"/>
      <c r="S68" s="84"/>
      <c r="T68" s="84"/>
      <c r="U68" s="84"/>
      <c r="V68" s="84"/>
      <c r="W68" s="84"/>
      <c r="X68" s="84"/>
      <c r="Y68" s="84"/>
      <c r="Z68" s="84"/>
      <c r="AA68" s="84"/>
      <c r="AB68" s="84"/>
      <c r="AC68" s="84"/>
    </row>
  </sheetData>
  <pageMargins left="0.7" right="0.7" top="0.75" bottom="0.75" header="0.3" footer="0.3"/>
  <pageSetup paperSize="9" orientation="portrait" horizontalDpi="4294967293" verticalDpi="0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OptimizeContribution"/>
  <dimension ref="A1:AC25"/>
  <sheetViews>
    <sheetView zoomScale="90" zoomScaleNormal="90" workbookViewId="0">
      <selection activeCell="D8" sqref="D8:D17"/>
    </sheetView>
  </sheetViews>
  <sheetFormatPr defaultColWidth="11.7109375" defaultRowHeight="15" x14ac:dyDescent="0.25"/>
  <cols>
    <col min="1" max="1" width="11.7109375" style="4" customWidth="1"/>
    <col min="2" max="2" width="13.85546875" style="5" customWidth="1"/>
    <col min="3" max="3" width="15.28515625" style="6" customWidth="1"/>
    <col min="4" max="4" width="17.7109375" bestFit="1" customWidth="1"/>
    <col min="6" max="6" width="11.7109375" style="34" hidden="1" customWidth="1"/>
    <col min="7" max="7" width="13.42578125" style="6" bestFit="1" customWidth="1"/>
    <col min="9" max="9" width="16.140625" style="7" customWidth="1"/>
    <col min="10" max="10" width="11.7109375" style="7" customWidth="1"/>
    <col min="13" max="13" width="30.42578125" customWidth="1"/>
    <col min="15" max="15" width="29.85546875" bestFit="1" customWidth="1"/>
  </cols>
  <sheetData>
    <row r="1" spans="1:29" x14ac:dyDescent="0.25">
      <c r="F1" s="51" t="s">
        <v>147</v>
      </c>
    </row>
    <row r="2" spans="1:29" s="10" customFormat="1" ht="15.6" customHeight="1" x14ac:dyDescent="0.25">
      <c r="A2" s="8"/>
      <c r="B2" s="115" t="s">
        <v>148</v>
      </c>
      <c r="C2" s="9"/>
      <c r="F2" s="52"/>
      <c r="G2" s="9"/>
      <c r="I2" s="11"/>
      <c r="J2" s="11"/>
    </row>
    <row r="3" spans="1:29" x14ac:dyDescent="0.25">
      <c r="F3" s="51"/>
    </row>
    <row r="4" spans="1:29" s="4" customFormat="1" ht="27.95" customHeight="1" x14ac:dyDescent="0.25">
      <c r="A4" s="98" t="s">
        <v>149</v>
      </c>
      <c r="B4" s="98" t="s">
        <v>150</v>
      </c>
      <c r="C4" s="99" t="s">
        <v>151</v>
      </c>
      <c r="D4" s="98" t="s">
        <v>152</v>
      </c>
      <c r="E4" s="98" t="s">
        <v>153</v>
      </c>
      <c r="F4" s="116" t="s">
        <v>154</v>
      </c>
      <c r="G4" s="99" t="s">
        <v>155</v>
      </c>
      <c r="H4" s="98" t="s">
        <v>47</v>
      </c>
      <c r="I4" s="99" t="s">
        <v>156</v>
      </c>
      <c r="J4" s="99" t="s">
        <v>157</v>
      </c>
      <c r="K4" s="99" t="s">
        <v>158</v>
      </c>
    </row>
    <row r="5" spans="1:29" ht="18" customHeight="1" x14ac:dyDescent="0.25">
      <c r="A5" s="100" t="s">
        <v>159</v>
      </c>
      <c r="B5" s="100" t="s">
        <v>160</v>
      </c>
      <c r="C5" s="102" t="s">
        <v>161</v>
      </c>
      <c r="D5" s="100" t="s">
        <v>162</v>
      </c>
      <c r="E5" s="100" t="s">
        <v>163</v>
      </c>
      <c r="F5" s="117" t="s">
        <v>164</v>
      </c>
      <c r="G5" s="102" t="s">
        <v>165</v>
      </c>
      <c r="H5" s="100" t="s">
        <v>166</v>
      </c>
      <c r="I5" s="102" t="s">
        <v>167</v>
      </c>
      <c r="J5" s="102" t="s">
        <v>168</v>
      </c>
      <c r="K5" s="102" t="s">
        <v>169</v>
      </c>
    </row>
    <row r="6" spans="1:29" s="4" customFormat="1" ht="15.6" customHeight="1" x14ac:dyDescent="0.25">
      <c r="A6" s="111"/>
      <c r="B6" s="111"/>
      <c r="C6" s="112" t="s">
        <v>170</v>
      </c>
      <c r="D6" s="118"/>
      <c r="E6" s="119">
        <f>'Inputs and assumptions '!C9</f>
        <v>1000</v>
      </c>
      <c r="F6" s="120"/>
      <c r="G6" s="112"/>
      <c r="H6" s="120">
        <f>IA_ContingencyAllowance</f>
        <v>0.08</v>
      </c>
      <c r="I6" s="112" t="s">
        <v>171</v>
      </c>
      <c r="J6" s="120">
        <f>IA_ReturnRate</f>
        <v>0.03</v>
      </c>
      <c r="K6" s="120"/>
      <c r="L6" s="127"/>
      <c r="M6" s="127"/>
      <c r="N6" s="127"/>
    </row>
    <row r="7" spans="1:29" s="12" customFormat="1" ht="15.6" customHeight="1" x14ac:dyDescent="0.25">
      <c r="A7" s="130" t="s">
        <v>172</v>
      </c>
      <c r="B7" s="131">
        <v>46295</v>
      </c>
      <c r="C7" s="132">
        <v>219871</v>
      </c>
      <c r="D7" s="133">
        <v>24681</v>
      </c>
      <c r="E7" s="134">
        <f>D7/'Inputs and assumptions '!C9</f>
        <v>24.681000000000001</v>
      </c>
      <c r="F7" s="135"/>
      <c r="G7" s="132">
        <f>SUMIF('Summary Page for Building Data'!G:G,0,'Summary Page for Building Data'!F:F)</f>
        <v>0</v>
      </c>
      <c r="H7" s="132">
        <f>G7*H6</f>
        <v>0</v>
      </c>
      <c r="I7" s="132">
        <v>370000</v>
      </c>
      <c r="J7" s="132">
        <v>0</v>
      </c>
      <c r="K7" s="132">
        <f t="shared" ref="K7:K17" si="0">G7+H7</f>
        <v>0</v>
      </c>
      <c r="L7" s="128"/>
      <c r="M7" s="128"/>
      <c r="N7" s="128"/>
    </row>
    <row r="8" spans="1:29" ht="15.95" customHeight="1" thickBot="1" x14ac:dyDescent="0.3">
      <c r="A8" s="146">
        <v>1</v>
      </c>
      <c r="B8" s="147">
        <f t="shared" ref="B8:B17" si="1">DATE(YEAR(B7)+1,MONTH(B7),DAY(B7))</f>
        <v>46660</v>
      </c>
      <c r="C8" s="148">
        <f t="shared" ref="C8:C17" si="2">SUM(I7:J7)</f>
        <v>370000</v>
      </c>
      <c r="D8" s="137">
        <f t="shared" ref="D8:D17" si="3">AverageGoal*(1+IA_CPI)^(A8-1)</f>
        <v>12395.794043520373</v>
      </c>
      <c r="E8" s="149">
        <f>D8/E6</f>
        <v>12.395794043520374</v>
      </c>
      <c r="F8" s="150"/>
      <c r="G8" s="148">
        <v>6489</v>
      </c>
      <c r="H8" s="148">
        <f>G8*H6</f>
        <v>519.12</v>
      </c>
      <c r="I8" s="148">
        <f t="shared" ref="I8:I17" si="4">C8+D8-G8-H8</f>
        <v>375387.67404352035</v>
      </c>
      <c r="J8" s="148">
        <f>IF(I8&gt;0,I8*J6,0)</f>
        <v>11261.63022130561</v>
      </c>
      <c r="K8" s="151">
        <f t="shared" si="0"/>
        <v>7008.12</v>
      </c>
      <c r="L8" s="136"/>
      <c r="M8" s="138" t="s">
        <v>173</v>
      </c>
      <c r="N8" s="127"/>
    </row>
    <row r="9" spans="1:29" ht="15.95" customHeight="1" thickBot="1" x14ac:dyDescent="0.3">
      <c r="A9" s="146">
        <v>2</v>
      </c>
      <c r="B9" s="147">
        <f t="shared" si="1"/>
        <v>47026</v>
      </c>
      <c r="C9" s="148">
        <f t="shared" si="2"/>
        <v>386649.30426482594</v>
      </c>
      <c r="D9" s="137">
        <f t="shared" si="3"/>
        <v>12767.667864825984</v>
      </c>
      <c r="E9" s="149">
        <f>D9/E6</f>
        <v>12.767667864825984</v>
      </c>
      <c r="F9" s="150">
        <f t="shared" ref="F9:F17" si="5">(D9-D8)/D8</f>
        <v>3.0000000000000006E-2</v>
      </c>
      <c r="G9" s="148">
        <v>3500.97</v>
      </c>
      <c r="H9" s="148">
        <f>G9*H6</f>
        <v>280.07760000000002</v>
      </c>
      <c r="I9" s="148">
        <f t="shared" si="4"/>
        <v>395635.92452965194</v>
      </c>
      <c r="J9" s="148">
        <f>IF(I9&gt;0,I9*J6,0)</f>
        <v>11869.077735889558</v>
      </c>
      <c r="K9" s="151">
        <f t="shared" si="0"/>
        <v>3781.0475999999999</v>
      </c>
      <c r="L9" s="136"/>
      <c r="M9" s="140">
        <v>95000</v>
      </c>
      <c r="N9" s="127"/>
    </row>
    <row r="10" spans="1:29" ht="15.6" customHeight="1" x14ac:dyDescent="0.25">
      <c r="A10" s="146">
        <v>3</v>
      </c>
      <c r="B10" s="147">
        <f t="shared" si="1"/>
        <v>47391</v>
      </c>
      <c r="C10" s="148">
        <f t="shared" si="2"/>
        <v>407505.00226554147</v>
      </c>
      <c r="D10" s="137">
        <f t="shared" si="3"/>
        <v>13150.697900770763</v>
      </c>
      <c r="E10" s="149">
        <f>D10/E6</f>
        <v>13.150697900770764</v>
      </c>
      <c r="F10" s="150">
        <f t="shared" si="5"/>
        <v>2.9999999999999978E-2</v>
      </c>
      <c r="G10" s="148">
        <v>107880.5658</v>
      </c>
      <c r="H10" s="148">
        <f>G10*H6</f>
        <v>8630.445264</v>
      </c>
      <c r="I10" s="148">
        <f t="shared" si="4"/>
        <v>304144.68910231226</v>
      </c>
      <c r="J10" s="148">
        <f>IF(I10&gt;0,I10*J6,0)</f>
        <v>9124.3406730693678</v>
      </c>
      <c r="K10" s="151">
        <f t="shared" si="0"/>
        <v>116511.01106399999</v>
      </c>
      <c r="L10" s="136"/>
      <c r="M10" s="127"/>
      <c r="N10" s="127"/>
    </row>
    <row r="11" spans="1:29" ht="15.95" customHeight="1" thickBot="1" x14ac:dyDescent="0.3">
      <c r="A11" s="146">
        <v>4</v>
      </c>
      <c r="B11" s="147">
        <f t="shared" si="1"/>
        <v>47756</v>
      </c>
      <c r="C11" s="148">
        <f t="shared" si="2"/>
        <v>313269.02977538161</v>
      </c>
      <c r="D11" s="137">
        <f t="shared" si="3"/>
        <v>13545.218837793886</v>
      </c>
      <c r="E11" s="149">
        <f>D11/E6</f>
        <v>13.545218837793886</v>
      </c>
      <c r="F11" s="150">
        <f t="shared" si="5"/>
        <v>2.9999999999999957E-2</v>
      </c>
      <c r="G11" s="148">
        <v>112779.3593</v>
      </c>
      <c r="H11" s="148">
        <f>G11*H6</f>
        <v>9022.3487440000008</v>
      </c>
      <c r="I11" s="148">
        <f t="shared" si="4"/>
        <v>205012.54056917547</v>
      </c>
      <c r="J11" s="148">
        <f>IF(I11&gt;0,I11*J6,0)</f>
        <v>6150.3762170752643</v>
      </c>
      <c r="K11" s="151">
        <f t="shared" si="0"/>
        <v>121801.708044</v>
      </c>
      <c r="L11" s="136"/>
      <c r="M11" s="138" t="s">
        <v>174</v>
      </c>
      <c r="N11" s="127"/>
    </row>
    <row r="12" spans="1:29" ht="15.95" customHeight="1" thickBot="1" x14ac:dyDescent="0.3">
      <c r="A12" s="146">
        <v>5</v>
      </c>
      <c r="B12" s="147">
        <f t="shared" si="1"/>
        <v>48121</v>
      </c>
      <c r="C12" s="148">
        <f t="shared" si="2"/>
        <v>211162.91678625075</v>
      </c>
      <c r="D12" s="137">
        <f t="shared" si="3"/>
        <v>13951.575402927701</v>
      </c>
      <c r="E12" s="149">
        <f>D12/E6</f>
        <v>13.951575402927702</v>
      </c>
      <c r="F12" s="150">
        <f t="shared" si="5"/>
        <v>2.9999999999999943E-2</v>
      </c>
      <c r="G12" s="148">
        <v>49695.760999999999</v>
      </c>
      <c r="H12" s="148">
        <f>G12*H6</f>
        <v>3975.6608799999999</v>
      </c>
      <c r="I12" s="148">
        <f t="shared" si="4"/>
        <v>171443.07030917844</v>
      </c>
      <c r="J12" s="148">
        <f>IF(I12&gt;0,I12*J6,0)</f>
        <v>5143.2921092753531</v>
      </c>
      <c r="K12" s="151">
        <f t="shared" si="0"/>
        <v>53671.421880000002</v>
      </c>
      <c r="L12" s="136"/>
      <c r="M12" s="140">
        <f>AVERAGE(I8:I17)</f>
        <v>94999.999999999825</v>
      </c>
      <c r="N12" s="127"/>
    </row>
    <row r="13" spans="1:29" ht="15.6" customHeight="1" x14ac:dyDescent="0.25">
      <c r="A13" s="146">
        <v>6</v>
      </c>
      <c r="B13" s="147">
        <f t="shared" si="1"/>
        <v>48487</v>
      </c>
      <c r="C13" s="148">
        <f t="shared" si="2"/>
        <v>176586.36241845379</v>
      </c>
      <c r="D13" s="137">
        <f t="shared" si="3"/>
        <v>14370.122665015531</v>
      </c>
      <c r="E13" s="149">
        <f>D13/E6</f>
        <v>14.370122665015531</v>
      </c>
      <c r="F13" s="150">
        <f t="shared" si="5"/>
        <v>2.9999999999999923E-2</v>
      </c>
      <c r="G13" s="148">
        <v>185598.71280000001</v>
      </c>
      <c r="H13" s="148">
        <f>G13*H6</f>
        <v>14847.897024000002</v>
      </c>
      <c r="I13" s="148">
        <f t="shared" si="4"/>
        <v>-9490.1247405306749</v>
      </c>
      <c r="J13" s="148">
        <f>IF(I13&gt;0,I13*J6,0)</f>
        <v>0</v>
      </c>
      <c r="K13" s="151">
        <f t="shared" si="0"/>
        <v>200446.60982400001</v>
      </c>
      <c r="L13" s="136"/>
      <c r="M13" s="127"/>
      <c r="N13" s="127"/>
    </row>
    <row r="14" spans="1:29" ht="15.6" customHeight="1" x14ac:dyDescent="0.25">
      <c r="A14" s="146">
        <v>7</v>
      </c>
      <c r="B14" s="147">
        <f t="shared" si="1"/>
        <v>48852</v>
      </c>
      <c r="C14" s="148">
        <f t="shared" si="2"/>
        <v>-9490.1247405306749</v>
      </c>
      <c r="D14" s="137">
        <f t="shared" si="3"/>
        <v>14801.226344965999</v>
      </c>
      <c r="E14" s="149">
        <f>D14/E6</f>
        <v>14.801226344965999</v>
      </c>
      <c r="F14" s="150">
        <f t="shared" si="5"/>
        <v>3.0000000000000093E-2</v>
      </c>
      <c r="G14" s="148">
        <v>46852.044900000001</v>
      </c>
      <c r="H14" s="148">
        <f>G14*H6</f>
        <v>3748.1635920000003</v>
      </c>
      <c r="I14" s="148">
        <f t="shared" si="4"/>
        <v>-45289.106887564674</v>
      </c>
      <c r="J14" s="148">
        <f>IF(I14&gt;0,I14*J6,0)</f>
        <v>0</v>
      </c>
      <c r="K14" s="151">
        <f t="shared" si="0"/>
        <v>50600.208491999998</v>
      </c>
      <c r="L14" s="136"/>
      <c r="M14" s="127"/>
      <c r="N14" s="127"/>
      <c r="AC14" t="s">
        <v>87</v>
      </c>
    </row>
    <row r="15" spans="1:29" ht="15.95" customHeight="1" thickBot="1" x14ac:dyDescent="0.3">
      <c r="A15" s="146">
        <v>8</v>
      </c>
      <c r="B15" s="147">
        <f t="shared" si="1"/>
        <v>49217</v>
      </c>
      <c r="C15" s="148">
        <f t="shared" si="2"/>
        <v>-45289.106887564674</v>
      </c>
      <c r="D15" s="137">
        <f t="shared" si="3"/>
        <v>15245.263135314979</v>
      </c>
      <c r="E15" s="149">
        <f>D15/E6</f>
        <v>15.245263135314978</v>
      </c>
      <c r="F15" s="150">
        <f t="shared" si="5"/>
        <v>3.0000000000000037E-2</v>
      </c>
      <c r="G15" s="148">
        <v>24433.461299999999</v>
      </c>
      <c r="H15" s="148">
        <f>G15*H6</f>
        <v>1954.6769039999999</v>
      </c>
      <c r="I15" s="148">
        <f t="shared" si="4"/>
        <v>-56431.981956249692</v>
      </c>
      <c r="J15" s="148">
        <f>IF(I15&gt;0,I15*J6,0)</f>
        <v>0</v>
      </c>
      <c r="K15" s="151">
        <f t="shared" si="0"/>
        <v>26388.138203999999</v>
      </c>
      <c r="L15" s="136"/>
      <c r="M15" s="138" t="s">
        <v>175</v>
      </c>
      <c r="N15" s="127"/>
      <c r="AC15">
        <f>IF(COUNTBLANK(B15:AB15)=27,0,IF(AND(NOT(ISBLANK(B15)),ISBLANK(C15)),0,IF(SUM(D15:AB15)=0,1,0)))</f>
        <v>0</v>
      </c>
    </row>
    <row r="16" spans="1:29" ht="15.95" customHeight="1" thickBot="1" x14ac:dyDescent="0.3">
      <c r="A16" s="146">
        <v>9</v>
      </c>
      <c r="B16" s="147">
        <f t="shared" si="1"/>
        <v>49582</v>
      </c>
      <c r="C16" s="148">
        <f t="shared" si="2"/>
        <v>-56431.981956249692</v>
      </c>
      <c r="D16" s="137">
        <f t="shared" si="3"/>
        <v>15702.621029374428</v>
      </c>
      <c r="E16" s="149">
        <f>D16/E6</f>
        <v>15.702621029374429</v>
      </c>
      <c r="F16" s="150">
        <f t="shared" si="5"/>
        <v>2.9999999999999968E-2</v>
      </c>
      <c r="G16" s="148">
        <v>133022.93090000001</v>
      </c>
      <c r="H16" s="148">
        <f>G16*H6</f>
        <v>10641.834472</v>
      </c>
      <c r="I16" s="148">
        <f t="shared" si="4"/>
        <v>-184394.12629887526</v>
      </c>
      <c r="J16" s="148">
        <f>IF(I16&gt;0,I16*J6,0)</f>
        <v>0</v>
      </c>
      <c r="K16" s="151">
        <f t="shared" si="0"/>
        <v>143664.76537199999</v>
      </c>
      <c r="L16" s="136"/>
      <c r="M16" s="140">
        <v>12395.794043520373</v>
      </c>
      <c r="N16" s="127"/>
      <c r="AC16">
        <f t="shared" ref="AC16:AC17" si="6">IF(COUNTBLANK(B16:AB16)=27,0,IF(AND(NOT(ISBLANK(B16)),ISBLANK(C16)),0,IF(SUM(D16:AB16)=0,1,0)))</f>
        <v>0</v>
      </c>
    </row>
    <row r="17" spans="1:29" ht="15.6" customHeight="1" x14ac:dyDescent="0.25">
      <c r="A17" s="146">
        <v>10</v>
      </c>
      <c r="B17" s="147">
        <f t="shared" si="1"/>
        <v>49948</v>
      </c>
      <c r="C17" s="148">
        <f t="shared" si="2"/>
        <v>-184394.12629887526</v>
      </c>
      <c r="D17" s="137">
        <f t="shared" si="3"/>
        <v>16173.699660255661</v>
      </c>
      <c r="E17" s="149">
        <f>D17/E6</f>
        <v>16.173699660255661</v>
      </c>
      <c r="F17" s="150">
        <f t="shared" si="5"/>
        <v>3.0000000000000013E-2</v>
      </c>
      <c r="G17" s="148">
        <v>34998.270400000001</v>
      </c>
      <c r="H17" s="148">
        <f>G17*H6</f>
        <v>2799.8616320000001</v>
      </c>
      <c r="I17" s="148">
        <f t="shared" si="4"/>
        <v>-206018.55867061962</v>
      </c>
      <c r="J17" s="148">
        <f>IF(I17&gt;0,I17*J6,0)</f>
        <v>0</v>
      </c>
      <c r="K17" s="151">
        <f t="shared" si="0"/>
        <v>37798.132032000001</v>
      </c>
      <c r="L17" s="129"/>
      <c r="M17" s="107"/>
      <c r="N17" s="107"/>
      <c r="AC17">
        <f t="shared" si="6"/>
        <v>0</v>
      </c>
    </row>
    <row r="18" spans="1:29" ht="15.6" customHeight="1" x14ac:dyDescent="0.25">
      <c r="B18" s="49"/>
      <c r="C18" s="46"/>
      <c r="D18" s="50"/>
      <c r="E18" s="47"/>
      <c r="F18" s="48"/>
      <c r="G18" s="46"/>
      <c r="H18" s="46"/>
      <c r="I18" s="46"/>
      <c r="J18" s="46"/>
    </row>
    <row r="19" spans="1:29" ht="15.6" customHeight="1" x14ac:dyDescent="0.25">
      <c r="B19" s="49"/>
      <c r="C19" s="46"/>
      <c r="D19" s="50"/>
      <c r="E19" s="47"/>
      <c r="F19" s="48"/>
      <c r="G19" s="46"/>
      <c r="H19" s="46"/>
      <c r="I19" s="46"/>
      <c r="J19" s="46"/>
    </row>
    <row r="20" spans="1:29" ht="15.6" customHeight="1" x14ac:dyDescent="0.25">
      <c r="B20" s="49"/>
      <c r="C20" s="46"/>
      <c r="D20" s="50"/>
      <c r="E20" s="47"/>
      <c r="F20" s="48"/>
      <c r="G20" s="46"/>
      <c r="H20" s="46"/>
      <c r="I20" s="46"/>
      <c r="J20" s="46"/>
    </row>
    <row r="21" spans="1:29" ht="15.6" customHeight="1" x14ac:dyDescent="0.25">
      <c r="B21" s="49"/>
      <c r="C21" s="46"/>
      <c r="D21" s="50"/>
      <c r="E21" s="47"/>
      <c r="F21" s="48"/>
      <c r="G21" s="46"/>
      <c r="H21" s="46"/>
      <c r="I21" s="46"/>
      <c r="J21" s="46"/>
    </row>
    <row r="22" spans="1:29" ht="15.6" customHeight="1" x14ac:dyDescent="0.25">
      <c r="B22" s="49"/>
      <c r="C22" s="46"/>
      <c r="D22" s="50"/>
      <c r="E22" s="47"/>
      <c r="F22" s="48"/>
      <c r="G22" s="46"/>
      <c r="H22" s="46"/>
      <c r="I22" s="46"/>
      <c r="J22" s="46"/>
    </row>
    <row r="23" spans="1:29" ht="15.6" customHeight="1" x14ac:dyDescent="0.25">
      <c r="B23" s="49"/>
      <c r="C23" s="46"/>
      <c r="D23" s="50"/>
      <c r="E23" s="47"/>
      <c r="F23" s="48"/>
      <c r="G23" s="46"/>
      <c r="H23" s="46"/>
      <c r="I23" s="46"/>
      <c r="J23" s="46"/>
    </row>
    <row r="24" spans="1:29" ht="15.6" customHeight="1" x14ac:dyDescent="0.25">
      <c r="B24" s="49"/>
      <c r="C24" s="46"/>
      <c r="D24" s="50"/>
      <c r="E24" s="47"/>
      <c r="F24" s="48"/>
      <c r="G24" s="46"/>
      <c r="H24" s="46"/>
      <c r="I24" s="46"/>
      <c r="J24" s="46"/>
    </row>
    <row r="25" spans="1:29" ht="15.6" customHeight="1" x14ac:dyDescent="0.25">
      <c r="B25" s="49"/>
      <c r="C25" s="46"/>
      <c r="D25" s="50"/>
      <c r="E25" s="47"/>
      <c r="F25" s="48"/>
      <c r="G25" s="46"/>
      <c r="H25" s="46"/>
      <c r="I25" s="46"/>
      <c r="J25" s="46"/>
    </row>
  </sheetData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btn_Test">
                <anchor moveWithCells="1" sizeWithCells="1">
                  <from>
                    <xdr:col>12</xdr:col>
                    <xdr:colOff>76200</xdr:colOff>
                    <xdr:row>3</xdr:row>
                    <xdr:rowOff>114300</xdr:rowOff>
                  </from>
                  <to>
                    <xdr:col>12</xdr:col>
                    <xdr:colOff>2781300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Summary"/>
  <dimension ref="B2:AC27"/>
  <sheetViews>
    <sheetView zoomScale="70" zoomScaleNormal="70" workbookViewId="0">
      <selection activeCell="E8" sqref="E8:N8"/>
    </sheetView>
  </sheetViews>
  <sheetFormatPr defaultColWidth="8" defaultRowHeight="15" x14ac:dyDescent="0.25"/>
  <cols>
    <col min="1" max="1" width="2.42578125" style="1" customWidth="1"/>
    <col min="2" max="2" width="1.85546875" style="1" customWidth="1"/>
    <col min="3" max="3" width="33.42578125" style="1" bestFit="1" customWidth="1"/>
    <col min="4" max="4" width="17.140625" style="1" customWidth="1"/>
    <col min="5" max="10" width="14.28515625" style="1" customWidth="1"/>
    <col min="11" max="11" width="14.7109375" style="1" customWidth="1"/>
    <col min="12" max="13" width="14.85546875" style="1" bestFit="1" customWidth="1"/>
    <col min="14" max="14" width="14.28515625" style="1" customWidth="1"/>
    <col min="15" max="17" width="14.85546875" style="1" bestFit="1" customWidth="1"/>
    <col min="18" max="19" width="16.28515625" style="1" bestFit="1" customWidth="1"/>
    <col min="20" max="29" width="14.28515625" style="1" customWidth="1"/>
    <col min="30" max="30" width="8" style="1" customWidth="1"/>
    <col min="31" max="16384" width="8" style="1"/>
  </cols>
  <sheetData>
    <row r="2" spans="2:29" s="10" customFormat="1" ht="15.6" customHeight="1" x14ac:dyDescent="0.25">
      <c r="B2" s="121" t="s">
        <v>148</v>
      </c>
      <c r="AC2" s="1">
        <f t="shared" ref="AC2:AC14" si="0">IF(COUNTBLANK(B2:AB2)=27,0,IF(AND(NOT(ISBLANK(B2)),ISBLANK(C2)),0,IF(SUM(D2:AB2)=0,1,0)))</f>
        <v>0</v>
      </c>
    </row>
    <row r="3" spans="2:29" x14ac:dyDescent="0.25">
      <c r="AC3" s="1">
        <f t="shared" si="0"/>
        <v>0</v>
      </c>
    </row>
    <row r="4" spans="2:29" ht="15.6" customHeight="1" x14ac:dyDescent="0.25">
      <c r="F4" s="122" t="s">
        <v>176</v>
      </c>
      <c r="AC4" s="1">
        <f t="shared" si="0"/>
        <v>1</v>
      </c>
    </row>
    <row r="5" spans="2:29" x14ac:dyDescent="0.25">
      <c r="AC5" s="1">
        <f t="shared" si="0"/>
        <v>0</v>
      </c>
    </row>
    <row r="6" spans="2:29" x14ac:dyDescent="0.25">
      <c r="AC6" s="1">
        <f t="shared" si="0"/>
        <v>0</v>
      </c>
    </row>
    <row r="7" spans="2:29" ht="15.6" customHeight="1" x14ac:dyDescent="0.25">
      <c r="C7" s="13" t="s">
        <v>69</v>
      </c>
      <c r="D7" s="38" t="s">
        <v>177</v>
      </c>
      <c r="E7" s="38" t="s">
        <v>178</v>
      </c>
      <c r="F7" s="38" t="s">
        <v>179</v>
      </c>
      <c r="G7" s="38" t="s">
        <v>180</v>
      </c>
      <c r="H7" s="38" t="s">
        <v>181</v>
      </c>
      <c r="I7" s="38" t="s">
        <v>182</v>
      </c>
      <c r="J7" s="38" t="s">
        <v>183</v>
      </c>
      <c r="K7" s="38" t="s">
        <v>184</v>
      </c>
      <c r="L7" s="38" t="s">
        <v>185</v>
      </c>
      <c r="M7" s="38" t="s">
        <v>186</v>
      </c>
      <c r="N7" s="38" t="s">
        <v>187</v>
      </c>
      <c r="O7" s="38"/>
      <c r="P7" s="38"/>
      <c r="Q7" s="38"/>
      <c r="R7" s="38"/>
      <c r="S7" s="38"/>
      <c r="T7" s="38"/>
      <c r="U7" s="38"/>
      <c r="V7" s="38"/>
      <c r="W7" s="38"/>
      <c r="X7" s="38"/>
      <c r="Y7" s="38"/>
      <c r="Z7" s="38"/>
      <c r="AA7" s="38"/>
      <c r="AB7" s="38"/>
    </row>
    <row r="8" spans="2:29" ht="15.6" customHeight="1" x14ac:dyDescent="0.25">
      <c r="C8" s="13" t="s">
        <v>33</v>
      </c>
      <c r="D8" s="39">
        <v>0</v>
      </c>
      <c r="E8" s="39">
        <v>6489</v>
      </c>
      <c r="F8" s="39">
        <v>3500.9700000000003</v>
      </c>
      <c r="G8" s="39">
        <v>107880.56580200003</v>
      </c>
      <c r="H8" s="39">
        <v>112779.35928843</v>
      </c>
      <c r="I8" s="39">
        <v>49695.761017092416</v>
      </c>
      <c r="J8" s="39">
        <v>185598.71276328166</v>
      </c>
      <c r="K8" s="39">
        <v>46852.044903360424</v>
      </c>
      <c r="L8" s="39">
        <v>24433.461329804348</v>
      </c>
      <c r="M8" s="39">
        <v>133022.93086457535</v>
      </c>
      <c r="N8" s="39">
        <v>34998.270350879626</v>
      </c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</row>
    <row r="9" spans="2:29" ht="15.6" customHeight="1" x14ac:dyDescent="0.25">
      <c r="C9" s="13" t="s">
        <v>188</v>
      </c>
      <c r="D9" s="39">
        <f>IA_CurrentBalance</f>
        <v>219871</v>
      </c>
      <c r="E9" s="54">
        <v>238063</v>
      </c>
      <c r="F9" s="54">
        <v>259243.03</v>
      </c>
      <c r="G9" s="54">
        <v>176043.46</v>
      </c>
      <c r="H9" s="54">
        <v>87945.1</v>
      </c>
      <c r="I9" s="54">
        <v>62930.34</v>
      </c>
      <c r="J9" s="54">
        <v>-97987.37</v>
      </c>
      <c r="K9" s="54">
        <v>-120158.41</v>
      </c>
      <c r="L9" s="54">
        <v>-119910.87</v>
      </c>
      <c r="M9" s="54">
        <v>-228252.79999999999</v>
      </c>
      <c r="N9" s="54">
        <v>-238570.07</v>
      </c>
      <c r="O9" s="54"/>
      <c r="P9" s="54"/>
      <c r="Q9" s="54"/>
      <c r="R9" s="54"/>
      <c r="S9" s="54"/>
      <c r="T9" s="54"/>
      <c r="U9" s="39"/>
      <c r="V9" s="39"/>
      <c r="W9" s="39"/>
      <c r="X9" s="39"/>
      <c r="Y9" s="39"/>
      <c r="Z9" s="39"/>
      <c r="AA9" s="39"/>
      <c r="AB9" s="39"/>
    </row>
    <row r="10" spans="2:29" ht="15.6" customHeight="1" x14ac:dyDescent="0.25">
      <c r="C10" s="13" t="s">
        <v>189</v>
      </c>
      <c r="D10" s="15">
        <v>0</v>
      </c>
      <c r="O10" s="14"/>
      <c r="P10" s="14"/>
      <c r="Q10" s="14"/>
      <c r="R10" s="14"/>
      <c r="S10" s="14"/>
    </row>
    <row r="11" spans="2:29" ht="15.6" customHeight="1" x14ac:dyDescent="0.25">
      <c r="C11" s="16"/>
      <c r="D11" s="17"/>
      <c r="AC11" s="1">
        <f t="shared" si="0"/>
        <v>0</v>
      </c>
    </row>
    <row r="12" spans="2:29" ht="15.6" customHeight="1" x14ac:dyDescent="0.25">
      <c r="C12" s="13" t="s">
        <v>190</v>
      </c>
      <c r="D12" s="123">
        <f>'Inputs and assumptions '!C14</f>
        <v>24.681000000000001</v>
      </c>
      <c r="E12" s="18">
        <f>'Optimize Contribution'!E8</f>
        <v>12.395794043520374</v>
      </c>
      <c r="F12" s="18">
        <f>'Optimize Contribution'!E9</f>
        <v>12.767667864825984</v>
      </c>
      <c r="G12" s="18">
        <f>'Optimize Contribution'!E10</f>
        <v>13.150697900770764</v>
      </c>
      <c r="H12" s="18">
        <f>'Optimize Contribution'!E11</f>
        <v>13.545218837793886</v>
      </c>
      <c r="I12" s="18">
        <f>'Optimize Contribution'!E12</f>
        <v>13.951575402927702</v>
      </c>
      <c r="J12" s="18">
        <f>'Optimize Contribution'!E13</f>
        <v>14.370122665015531</v>
      </c>
      <c r="K12" s="18">
        <f>'Optimize Contribution'!E14</f>
        <v>14.801226344965999</v>
      </c>
      <c r="L12" s="18">
        <f>'Optimize Contribution'!E15</f>
        <v>15.245263135314978</v>
      </c>
      <c r="M12" s="18">
        <f>'Optimize Contribution'!E16</f>
        <v>15.702621029374429</v>
      </c>
      <c r="N12" s="18">
        <f>'Optimize Contribution'!E17</f>
        <v>16.173699660255661</v>
      </c>
      <c r="O12" s="18">
        <f>'Optimize Contribution'!E18</f>
        <v>0</v>
      </c>
      <c r="P12" s="18">
        <f>'Optimize Contribution'!E19</f>
        <v>0</v>
      </c>
      <c r="Q12" s="18">
        <f>'Optimize Contribution'!E20</f>
        <v>0</v>
      </c>
      <c r="R12" s="18">
        <f>'Optimize Contribution'!E21</f>
        <v>0</v>
      </c>
      <c r="S12" s="18">
        <f>'Optimize Contribution'!E22</f>
        <v>0</v>
      </c>
      <c r="T12" s="18">
        <f>'Optimize Contribution'!E23</f>
        <v>0</v>
      </c>
      <c r="U12" s="18">
        <f>'Optimize Contribution'!E24</f>
        <v>0</v>
      </c>
      <c r="V12" s="18">
        <f>'Optimize Contribution'!E25</f>
        <v>0</v>
      </c>
      <c r="W12" s="18">
        <f>'Optimize Contribution'!E26</f>
        <v>0</v>
      </c>
      <c r="X12" s="18">
        <f>'Optimize Contribution'!E27</f>
        <v>0</v>
      </c>
      <c r="Y12" s="18">
        <f>'Optimize Contribution'!E28</f>
        <v>0</v>
      </c>
      <c r="Z12" s="18">
        <f>'Optimize Contribution'!E29</f>
        <v>0</v>
      </c>
      <c r="AA12" s="18">
        <f>'Optimize Contribution'!E30</f>
        <v>0</v>
      </c>
      <c r="AB12" s="18">
        <f>'Optimize Contribution'!E31</f>
        <v>0</v>
      </c>
      <c r="AC12" s="1">
        <f t="shared" si="0"/>
        <v>0</v>
      </c>
    </row>
    <row r="13" spans="2:29" ht="15.6" customHeight="1" x14ac:dyDescent="0.25">
      <c r="C13" s="13" t="s">
        <v>191</v>
      </c>
      <c r="D13" s="37">
        <f>IA_FundLevy</f>
        <v>24681</v>
      </c>
      <c r="E13" s="18">
        <f>'Optimize Contribution'!D8</f>
        <v>12395.794043520373</v>
      </c>
      <c r="F13" s="18">
        <f>'Optimize Contribution'!D9</f>
        <v>12767.667864825984</v>
      </c>
      <c r="G13" s="18">
        <f>'Optimize Contribution'!D10</f>
        <v>13150.697900770763</v>
      </c>
      <c r="H13" s="18">
        <f>'Optimize Contribution'!D11</f>
        <v>13545.218837793886</v>
      </c>
      <c r="I13" s="18">
        <f>'Optimize Contribution'!D12</f>
        <v>13951.575402927701</v>
      </c>
      <c r="J13" s="18">
        <f>'Optimize Contribution'!D13</f>
        <v>14370.122665015531</v>
      </c>
      <c r="K13" s="18">
        <f>'Optimize Contribution'!D14</f>
        <v>14801.226344965999</v>
      </c>
      <c r="L13" s="18">
        <f>'Optimize Contribution'!D15</f>
        <v>15245.263135314979</v>
      </c>
      <c r="M13" s="18">
        <f>'Optimize Contribution'!D16</f>
        <v>15702.621029374428</v>
      </c>
      <c r="N13" s="18">
        <f>'Optimize Contribution'!D17</f>
        <v>16173.699660255661</v>
      </c>
      <c r="O13" s="18">
        <f>'Optimize Contribution'!D18</f>
        <v>0</v>
      </c>
      <c r="P13" s="18">
        <f>'Optimize Contribution'!D19</f>
        <v>0</v>
      </c>
      <c r="Q13" s="18">
        <f>'Optimize Contribution'!D20</f>
        <v>0</v>
      </c>
      <c r="R13" s="18">
        <f>'Optimize Contribution'!D21</f>
        <v>0</v>
      </c>
      <c r="S13" s="18">
        <f>'Optimize Contribution'!D22</f>
        <v>0</v>
      </c>
      <c r="T13" s="18">
        <f>'Optimize Contribution'!D23</f>
        <v>0</v>
      </c>
      <c r="U13" s="18">
        <f>'Optimize Contribution'!D24</f>
        <v>0</v>
      </c>
      <c r="V13" s="18">
        <f>'Optimize Contribution'!D25</f>
        <v>0</v>
      </c>
      <c r="W13" s="18">
        <f>'Optimize Contribution'!D26</f>
        <v>0</v>
      </c>
      <c r="X13" s="18">
        <f>'Optimize Contribution'!D27</f>
        <v>0</v>
      </c>
      <c r="Y13" s="18">
        <f>'Optimize Contribution'!D28</f>
        <v>0</v>
      </c>
      <c r="Z13" s="18">
        <f>'Optimize Contribution'!D29</f>
        <v>0</v>
      </c>
      <c r="AA13" s="18">
        <f>'Optimize Contribution'!D30</f>
        <v>0</v>
      </c>
      <c r="AB13" s="18">
        <f>'Optimize Contribution'!D31</f>
        <v>0</v>
      </c>
      <c r="AC13" s="1">
        <f t="shared" si="0"/>
        <v>0</v>
      </c>
    </row>
    <row r="14" spans="2:29" ht="15.6" customHeight="1" x14ac:dyDescent="0.25">
      <c r="C14" s="16"/>
      <c r="D14" s="16"/>
      <c r="AC14" s="1">
        <f t="shared" si="0"/>
        <v>0</v>
      </c>
    </row>
    <row r="15" spans="2:29" x14ac:dyDescent="0.25">
      <c r="F15" s="14"/>
      <c r="AC15" s="1">
        <f>IF(COUNTBLANK(B15:AB15)=27,0,IF(AND(NOT(ISBLANK(B15)),ISBLANK(C15)),0,IF(SUM(D15:AB15)=0,1,0)))</f>
        <v>0</v>
      </c>
    </row>
    <row r="18" spans="3:13" ht="15.6" customHeight="1" x14ac:dyDescent="0.25">
      <c r="D18" s="19"/>
      <c r="E18" s="19"/>
      <c r="F18" s="19"/>
      <c r="G18" s="19"/>
      <c r="H18" s="19"/>
      <c r="I18" s="19"/>
      <c r="J18" s="19"/>
      <c r="K18" s="19"/>
      <c r="L18" s="19"/>
      <c r="M18" s="19"/>
    </row>
    <row r="19" spans="3:13" ht="15.6" customHeight="1" x14ac:dyDescent="0.25">
      <c r="D19" s="19"/>
      <c r="E19" s="19"/>
      <c r="F19" s="19"/>
      <c r="G19" s="19"/>
      <c r="H19" s="19"/>
      <c r="I19" s="19"/>
      <c r="J19" s="19"/>
      <c r="K19" s="19"/>
      <c r="L19" s="19"/>
      <c r="M19" s="19"/>
    </row>
    <row r="23" spans="3:13" ht="15.6" customHeight="1" x14ac:dyDescent="0.25">
      <c r="C23" s="3"/>
      <c r="D23" s="20"/>
      <c r="E23" s="20" t="s">
        <v>170</v>
      </c>
      <c r="F23" s="20"/>
      <c r="G23" s="21"/>
      <c r="H23" s="20"/>
      <c r="I23" s="20"/>
      <c r="J23" s="22">
        <v>0.08</v>
      </c>
      <c r="K23" s="20" t="s">
        <v>192</v>
      </c>
      <c r="L23" s="22">
        <v>3.5000000000000003E-2</v>
      </c>
    </row>
    <row r="24" spans="3:13" ht="15.6" customHeight="1" x14ac:dyDescent="0.25">
      <c r="C24" s="3"/>
      <c r="D24" s="23">
        <v>43282</v>
      </c>
      <c r="E24" s="20"/>
      <c r="F24" s="20"/>
      <c r="G24" s="16"/>
      <c r="H24" s="24"/>
      <c r="I24" s="24"/>
      <c r="J24" s="24"/>
      <c r="K24" s="24">
        <v>10000</v>
      </c>
      <c r="L24" s="24">
        <v>350</v>
      </c>
    </row>
    <row r="27" spans="3:13" x14ac:dyDescent="0.25">
      <c r="D27" s="1">
        <f>10000+ 50000 - 93029</f>
        <v>-33029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btn_Test">
                <anchor moveWithCells="1" sizeWithCells="1">
                  <from>
                    <xdr:col>15</xdr:col>
                    <xdr:colOff>609600</xdr:colOff>
                    <xdr:row>1</xdr:row>
                    <xdr:rowOff>333375</xdr:rowOff>
                  </from>
                  <to>
                    <xdr:col>17</xdr:col>
                    <xdr:colOff>457200</xdr:colOff>
                    <xdr:row>3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FutureValueCalculator"/>
  <dimension ref="A2:AF77"/>
  <sheetViews>
    <sheetView topLeftCell="B4" zoomScale="77" zoomScaleNormal="77" workbookViewId="0">
      <selection activeCell="A15" sqref="A15"/>
    </sheetView>
  </sheetViews>
  <sheetFormatPr defaultColWidth="11.7109375" defaultRowHeight="15" x14ac:dyDescent="0.25"/>
  <cols>
    <col min="2" max="2" width="77.7109375" customWidth="1"/>
    <col min="3" max="3" width="14.42578125" customWidth="1"/>
    <col min="4" max="4" width="16.140625" customWidth="1"/>
    <col min="5" max="5" width="11.85546875" bestFit="1" customWidth="1"/>
    <col min="6" max="6" width="11.7109375" bestFit="1" customWidth="1"/>
    <col min="7" max="7" width="15.42578125" customWidth="1"/>
    <col min="8" max="8" width="11.7109375" bestFit="1" customWidth="1"/>
    <col min="9" max="9" width="11.85546875" bestFit="1" customWidth="1"/>
    <col min="10" max="10" width="11.7109375" bestFit="1" customWidth="1"/>
    <col min="11" max="11" width="12.140625" bestFit="1" customWidth="1"/>
    <col min="12" max="12" width="12.28515625" bestFit="1" customWidth="1"/>
    <col min="13" max="13" width="12.140625" bestFit="1" customWidth="1"/>
    <col min="14" max="14" width="11.7109375" bestFit="1" customWidth="1"/>
    <col min="15" max="15" width="14.85546875" bestFit="1" customWidth="1"/>
    <col min="16" max="16" width="11.7109375" bestFit="1" customWidth="1"/>
    <col min="17" max="17" width="13.7109375" bestFit="1" customWidth="1"/>
    <col min="30" max="32" width="11.7109375" style="32" customWidth="1"/>
  </cols>
  <sheetData>
    <row r="2" spans="1:32" s="10" customFormat="1" ht="15.6" customHeight="1" x14ac:dyDescent="0.25">
      <c r="B2" s="121" t="s">
        <v>148</v>
      </c>
      <c r="AD2" s="32"/>
      <c r="AE2" s="32"/>
      <c r="AF2" s="32"/>
    </row>
    <row r="3" spans="1:32" s="3" customFormat="1" x14ac:dyDescent="0.25">
      <c r="AD3" s="32"/>
      <c r="AE3" s="32"/>
      <c r="AF3" s="32"/>
    </row>
    <row r="4" spans="1:32" s="3" customFormat="1" x14ac:dyDescent="0.25">
      <c r="B4" s="3" t="s">
        <v>193</v>
      </c>
      <c r="AD4" s="32"/>
      <c r="AE4" s="32"/>
      <c r="AF4" s="32"/>
    </row>
    <row r="5" spans="1:32" s="3" customFormat="1" x14ac:dyDescent="0.25">
      <c r="B5" s="3" t="s">
        <v>194</v>
      </c>
      <c r="AD5" s="32"/>
      <c r="AE5" s="32"/>
      <c r="AF5" s="32"/>
    </row>
    <row r="6" spans="1:32" s="3" customFormat="1" x14ac:dyDescent="0.25">
      <c r="B6" s="2" t="s">
        <v>195</v>
      </c>
      <c r="D6" s="29" t="s">
        <v>196</v>
      </c>
      <c r="AD6" s="32"/>
      <c r="AE6" s="32"/>
      <c r="AF6" s="32"/>
    </row>
    <row r="7" spans="1:32" s="3" customFormat="1" x14ac:dyDescent="0.25">
      <c r="B7" s="2" t="s">
        <v>197</v>
      </c>
      <c r="D7" s="29"/>
      <c r="AD7" s="32"/>
      <c r="AE7" s="32"/>
      <c r="AF7" s="32"/>
    </row>
    <row r="8" spans="1:32" s="3" customFormat="1" x14ac:dyDescent="0.25">
      <c r="B8" s="98" t="s">
        <v>198</v>
      </c>
      <c r="C8" s="98">
        <f>IA_ProjectionYears</f>
        <v>10</v>
      </c>
      <c r="D8" s="98"/>
      <c r="AD8" s="32"/>
      <c r="AE8" s="32"/>
      <c r="AF8" s="32"/>
    </row>
    <row r="9" spans="1:32" s="3" customFormat="1" x14ac:dyDescent="0.25">
      <c r="B9" s="2" t="s">
        <v>199</v>
      </c>
      <c r="D9" s="29"/>
      <c r="AD9" s="32"/>
      <c r="AE9" s="32"/>
      <c r="AF9" s="32"/>
    </row>
    <row r="10" spans="1:32" s="3" customFormat="1" x14ac:dyDescent="0.25">
      <c r="D10" s="29" t="s">
        <v>200</v>
      </c>
      <c r="AD10" s="32"/>
      <c r="AE10" s="32"/>
      <c r="AF10" s="32"/>
    </row>
    <row r="11" spans="1:32" s="3" customFormat="1" x14ac:dyDescent="0.25">
      <c r="B11" s="3" t="s">
        <v>197</v>
      </c>
      <c r="C11" s="30"/>
      <c r="D11" s="29" t="s">
        <v>201</v>
      </c>
      <c r="AD11" s="32"/>
      <c r="AE11" s="32"/>
      <c r="AF11" s="32"/>
    </row>
    <row r="12" spans="1:32" s="3" customFormat="1" x14ac:dyDescent="0.25">
      <c r="B12" s="3" t="s">
        <v>202</v>
      </c>
      <c r="C12" s="31">
        <v>1</v>
      </c>
      <c r="AD12" s="32"/>
      <c r="AE12" s="32"/>
      <c r="AF12" s="32"/>
    </row>
    <row r="13" spans="1:32" s="3" customFormat="1" x14ac:dyDescent="0.25">
      <c r="C13" s="31"/>
      <c r="AD13" s="32"/>
      <c r="AE13" s="32"/>
      <c r="AF13" s="32"/>
    </row>
    <row r="14" spans="1:32" ht="15.6" customHeight="1" x14ac:dyDescent="0.25">
      <c r="B14" s="103" t="s">
        <v>203</v>
      </c>
      <c r="C14" s="103" t="s">
        <v>204</v>
      </c>
      <c r="D14" s="143">
        <v>1</v>
      </c>
      <c r="E14" s="144">
        <v>2</v>
      </c>
      <c r="F14" s="144">
        <v>3</v>
      </c>
      <c r="G14" s="144">
        <v>4</v>
      </c>
      <c r="H14" s="144">
        <v>5</v>
      </c>
      <c r="I14" s="144">
        <v>6</v>
      </c>
      <c r="J14" s="144">
        <v>7</v>
      </c>
      <c r="K14" s="144">
        <v>8</v>
      </c>
      <c r="L14" s="144">
        <v>9</v>
      </c>
      <c r="M14" s="144">
        <v>10</v>
      </c>
      <c r="AC14" t="s">
        <v>87</v>
      </c>
    </row>
    <row r="15" spans="1:32" x14ac:dyDescent="0.25">
      <c r="A15" s="142">
        <v>1</v>
      </c>
      <c r="B15" s="103" t="s">
        <v>81</v>
      </c>
      <c r="C15" s="103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AC15">
        <f>IF(COUNTBLANK(B15:AB15)=27,0,IF(AND(NOT(ISBLANK(B15)),ISBLANK(C15)),0,IF(SUM(D15:AB15)=0,1,0)))</f>
        <v>0</v>
      </c>
    </row>
    <row r="16" spans="1:32" x14ac:dyDescent="0.25">
      <c r="A16" s="105">
        <v>2</v>
      </c>
      <c r="B16" s="83" t="s">
        <v>82</v>
      </c>
      <c r="C16" s="108">
        <v>6000</v>
      </c>
      <c r="D16" s="32"/>
      <c r="E16" s="32"/>
      <c r="F16" s="32">
        <v>6556.362000000001</v>
      </c>
      <c r="G16" s="32"/>
      <c r="H16" s="32"/>
      <c r="I16" s="32">
        <v>7164.3137791740019</v>
      </c>
      <c r="J16" s="32"/>
      <c r="K16" s="32"/>
      <c r="L16" s="32">
        <v>7828.6391029754695</v>
      </c>
      <c r="M16" s="32"/>
      <c r="N16" s="32"/>
      <c r="AC16">
        <f t="shared" ref="AC16:AC74" si="0">IF(COUNTBLANK(B16:AB16)=27,0,IF(AND(NOT(ISBLANK(B16)),ISBLANK(C16)),0,IF(SUM(D16:AB16)=0,1,0)))</f>
        <v>0</v>
      </c>
    </row>
    <row r="17" spans="1:29" x14ac:dyDescent="0.25">
      <c r="A17" s="105">
        <v>3</v>
      </c>
      <c r="B17" s="109" t="s">
        <v>84</v>
      </c>
      <c r="C17" s="112">
        <v>9600</v>
      </c>
      <c r="D17" s="32"/>
      <c r="E17" s="32"/>
      <c r="F17" s="32"/>
      <c r="G17" s="32"/>
      <c r="H17" s="32">
        <v>11129.03111328</v>
      </c>
      <c r="I17" s="32"/>
      <c r="J17" s="32"/>
      <c r="K17" s="32"/>
      <c r="L17" s="32"/>
      <c r="M17" s="32"/>
      <c r="N17" s="32"/>
      <c r="AC17">
        <f t="shared" si="0"/>
        <v>0</v>
      </c>
    </row>
    <row r="18" spans="1:29" x14ac:dyDescent="0.25">
      <c r="A18" s="142">
        <v>4</v>
      </c>
      <c r="B18" s="103" t="s">
        <v>86</v>
      </c>
      <c r="C18" s="113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AC18">
        <f t="shared" si="0"/>
        <v>0</v>
      </c>
    </row>
    <row r="19" spans="1:29" x14ac:dyDescent="0.25">
      <c r="A19" s="105">
        <v>5</v>
      </c>
      <c r="B19" s="109" t="s">
        <v>88</v>
      </c>
      <c r="C19" s="112">
        <v>36000</v>
      </c>
      <c r="D19" s="32"/>
      <c r="E19" s="32"/>
      <c r="F19" s="32">
        <v>39338.172000000006</v>
      </c>
      <c r="G19" s="32"/>
      <c r="H19" s="32"/>
      <c r="I19" s="32">
        <v>42985.882675044013</v>
      </c>
      <c r="J19" s="32"/>
      <c r="K19" s="32"/>
      <c r="L19" s="32">
        <v>46971.834617852823</v>
      </c>
      <c r="M19" s="32"/>
      <c r="N19" s="32"/>
      <c r="AC19">
        <f t="shared" si="0"/>
        <v>0</v>
      </c>
    </row>
    <row r="20" spans="1:29" x14ac:dyDescent="0.25">
      <c r="A20" s="105">
        <v>6</v>
      </c>
      <c r="B20" s="83" t="s">
        <v>89</v>
      </c>
      <c r="C20" s="108">
        <v>1300</v>
      </c>
      <c r="D20" s="32">
        <v>1339</v>
      </c>
      <c r="E20" s="32"/>
      <c r="F20" s="32">
        <v>1420.5451</v>
      </c>
      <c r="G20" s="32"/>
      <c r="H20" s="32">
        <v>1507.0562965900001</v>
      </c>
      <c r="I20" s="32"/>
      <c r="J20" s="32">
        <v>1598.8360250523313</v>
      </c>
      <c r="K20" s="32"/>
      <c r="L20" s="32">
        <v>1696.2051389780183</v>
      </c>
      <c r="M20" s="32"/>
      <c r="N20" s="32"/>
      <c r="AC20">
        <f t="shared" si="0"/>
        <v>0</v>
      </c>
    </row>
    <row r="21" spans="1:29" x14ac:dyDescent="0.25">
      <c r="A21" s="105">
        <v>7</v>
      </c>
      <c r="B21" s="109" t="s">
        <v>90</v>
      </c>
      <c r="C21" s="112">
        <v>2625</v>
      </c>
      <c r="D21" s="32"/>
      <c r="E21" s="32"/>
      <c r="F21" s="32">
        <v>2868.4083750000004</v>
      </c>
      <c r="G21" s="32"/>
      <c r="H21" s="32"/>
      <c r="I21" s="32">
        <v>3134.3872783886254</v>
      </c>
      <c r="J21" s="32"/>
      <c r="K21" s="32"/>
      <c r="L21" s="32">
        <v>3425.0296075517681</v>
      </c>
      <c r="M21" s="32"/>
      <c r="N21" s="32"/>
      <c r="AC21">
        <f t="shared" si="0"/>
        <v>0</v>
      </c>
    </row>
    <row r="22" spans="1:29" x14ac:dyDescent="0.25">
      <c r="A22" s="105">
        <v>8</v>
      </c>
      <c r="B22" s="83" t="s">
        <v>91</v>
      </c>
      <c r="C22" s="108">
        <v>18720</v>
      </c>
      <c r="D22" s="32"/>
      <c r="E22" s="32"/>
      <c r="F22" s="32"/>
      <c r="G22" s="32">
        <v>21069.524923200002</v>
      </c>
      <c r="H22" s="32"/>
      <c r="I22" s="32"/>
      <c r="J22" s="32"/>
      <c r="K22" s="32"/>
      <c r="L22" s="32"/>
      <c r="M22" s="32"/>
      <c r="N22" s="32"/>
      <c r="AC22">
        <f t="shared" si="0"/>
        <v>0</v>
      </c>
    </row>
    <row r="23" spans="1:29" x14ac:dyDescent="0.25">
      <c r="A23" s="105">
        <v>9</v>
      </c>
      <c r="B23" s="109" t="s">
        <v>93</v>
      </c>
      <c r="C23" s="112">
        <v>5625</v>
      </c>
      <c r="D23" s="32"/>
      <c r="E23" s="32"/>
      <c r="F23" s="32"/>
      <c r="G23" s="32">
        <v>6330.9870562500009</v>
      </c>
      <c r="H23" s="32"/>
      <c r="I23" s="32"/>
      <c r="J23" s="32"/>
      <c r="K23" s="32"/>
      <c r="L23" s="32"/>
      <c r="M23" s="32"/>
      <c r="N23" s="32"/>
      <c r="AC23">
        <f t="shared" si="0"/>
        <v>0</v>
      </c>
    </row>
    <row r="24" spans="1:29" x14ac:dyDescent="0.25">
      <c r="A24" s="105">
        <v>10</v>
      </c>
      <c r="B24" s="83" t="s">
        <v>94</v>
      </c>
      <c r="C24" s="108">
        <v>4719</v>
      </c>
      <c r="D24" s="32"/>
      <c r="E24" s="32"/>
      <c r="F24" s="32"/>
      <c r="G24" s="32"/>
      <c r="H24" s="32"/>
      <c r="I24" s="32">
        <v>5634.7327873203512</v>
      </c>
      <c r="J24" s="32"/>
      <c r="K24" s="32"/>
      <c r="L24" s="32"/>
      <c r="M24" s="32"/>
      <c r="N24" s="32"/>
      <c r="AC24">
        <f t="shared" si="0"/>
        <v>0</v>
      </c>
    </row>
    <row r="25" spans="1:29" x14ac:dyDescent="0.25">
      <c r="A25" s="105">
        <v>11</v>
      </c>
      <c r="B25" s="109" t="s">
        <v>95</v>
      </c>
      <c r="C25" s="112">
        <v>20280</v>
      </c>
      <c r="D25" s="32"/>
      <c r="E25" s="32"/>
      <c r="F25" s="32">
        <v>22160.503560000005</v>
      </c>
      <c r="G25" s="32"/>
      <c r="H25" s="32"/>
      <c r="I25" s="32"/>
      <c r="J25" s="32"/>
      <c r="K25" s="32"/>
      <c r="L25" s="32"/>
      <c r="M25" s="32"/>
      <c r="N25" s="32"/>
      <c r="AC25">
        <f t="shared" si="0"/>
        <v>0</v>
      </c>
    </row>
    <row r="26" spans="1:29" x14ac:dyDescent="0.25">
      <c r="A26" s="142">
        <v>12</v>
      </c>
      <c r="B26" s="103" t="s">
        <v>97</v>
      </c>
      <c r="C26" s="113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AC26">
        <f t="shared" si="0"/>
        <v>0</v>
      </c>
    </row>
    <row r="27" spans="1:29" x14ac:dyDescent="0.25">
      <c r="A27" s="105">
        <v>13</v>
      </c>
      <c r="B27" s="109" t="s">
        <v>98</v>
      </c>
      <c r="C27" s="112">
        <v>7200</v>
      </c>
      <c r="D27" s="32"/>
      <c r="E27" s="32"/>
      <c r="F27" s="32"/>
      <c r="G27" s="32"/>
      <c r="H27" s="32">
        <v>8346.7733349600021</v>
      </c>
      <c r="I27" s="32"/>
      <c r="J27" s="32"/>
      <c r="K27" s="32"/>
      <c r="L27" s="32"/>
      <c r="M27" s="32"/>
      <c r="N27" s="32"/>
      <c r="AC27">
        <f t="shared" si="0"/>
        <v>0</v>
      </c>
    </row>
    <row r="28" spans="1:29" x14ac:dyDescent="0.25">
      <c r="A28" s="105">
        <v>14</v>
      </c>
      <c r="B28" s="83" t="s">
        <v>99</v>
      </c>
      <c r="C28" s="108">
        <v>3300</v>
      </c>
      <c r="D28" s="32"/>
      <c r="E28" s="32">
        <v>3500.9700000000003</v>
      </c>
      <c r="F28" s="32"/>
      <c r="G28" s="32">
        <v>3714.1790730000007</v>
      </c>
      <c r="H28" s="32"/>
      <c r="I28" s="32">
        <v>3940.3725785457009</v>
      </c>
      <c r="J28" s="32"/>
      <c r="K28" s="32">
        <v>4180.3412685791345</v>
      </c>
      <c r="L28" s="32"/>
      <c r="M28" s="32">
        <v>4434.9240518356037</v>
      </c>
      <c r="N28" s="32"/>
      <c r="AC28">
        <f t="shared" si="0"/>
        <v>0</v>
      </c>
    </row>
    <row r="29" spans="1:29" x14ac:dyDescent="0.25">
      <c r="A29" s="142">
        <v>15</v>
      </c>
      <c r="B29" s="103" t="s">
        <v>100</v>
      </c>
      <c r="C29" s="113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AC29">
        <f t="shared" si="0"/>
        <v>0</v>
      </c>
    </row>
    <row r="30" spans="1:29" x14ac:dyDescent="0.25">
      <c r="A30" s="105">
        <v>16</v>
      </c>
      <c r="B30" s="83" t="s">
        <v>101</v>
      </c>
      <c r="C30" s="108">
        <v>10560</v>
      </c>
      <c r="D30" s="32"/>
      <c r="E30" s="32"/>
      <c r="F30" s="32"/>
      <c r="G30" s="32"/>
      <c r="H30" s="32">
        <v>12241.934224608001</v>
      </c>
      <c r="I30" s="32"/>
      <c r="J30" s="32"/>
      <c r="K30" s="32"/>
      <c r="L30" s="32"/>
      <c r="M30" s="32"/>
      <c r="N30" s="32"/>
      <c r="AC30">
        <f t="shared" si="0"/>
        <v>0</v>
      </c>
    </row>
    <row r="31" spans="1:29" x14ac:dyDescent="0.25">
      <c r="A31" s="105">
        <v>17</v>
      </c>
      <c r="B31" s="109" t="s">
        <v>102</v>
      </c>
      <c r="C31" s="112">
        <v>3320</v>
      </c>
      <c r="D31" s="32"/>
      <c r="E31" s="32"/>
      <c r="F31" s="32">
        <v>3627.8536400000003</v>
      </c>
      <c r="G31" s="32"/>
      <c r="H31" s="32"/>
      <c r="I31" s="32"/>
      <c r="J31" s="32">
        <v>4083.1812332105692</v>
      </c>
      <c r="K31" s="32"/>
      <c r="L31" s="32"/>
      <c r="M31" s="32"/>
      <c r="N31" s="32"/>
      <c r="AC31">
        <f t="shared" si="0"/>
        <v>0</v>
      </c>
    </row>
    <row r="32" spans="1:29" x14ac:dyDescent="0.25">
      <c r="A32" s="105">
        <v>18</v>
      </c>
      <c r="B32" s="83" t="s">
        <v>103</v>
      </c>
      <c r="C32" s="108">
        <v>58536</v>
      </c>
      <c r="D32" s="32"/>
      <c r="E32" s="32"/>
      <c r="F32" s="32"/>
      <c r="G32" s="32">
        <v>65882.783702159999</v>
      </c>
      <c r="H32" s="32"/>
      <c r="I32" s="32"/>
      <c r="J32" s="32"/>
      <c r="K32" s="32"/>
      <c r="L32" s="32"/>
      <c r="M32" s="32"/>
      <c r="N32" s="32"/>
      <c r="AC32">
        <f t="shared" si="0"/>
        <v>0</v>
      </c>
    </row>
    <row r="33" spans="1:29" x14ac:dyDescent="0.25">
      <c r="A33" s="105">
        <v>19</v>
      </c>
      <c r="B33" s="109" t="s">
        <v>105</v>
      </c>
      <c r="C33" s="112">
        <v>3375</v>
      </c>
      <c r="D33" s="32"/>
      <c r="E33" s="32"/>
      <c r="F33" s="32">
        <v>3687.9536250000001</v>
      </c>
      <c r="G33" s="32"/>
      <c r="H33" s="32"/>
      <c r="I33" s="32"/>
      <c r="J33" s="32">
        <v>4150.8242958089368</v>
      </c>
      <c r="K33" s="32"/>
      <c r="L33" s="32"/>
      <c r="M33" s="32"/>
      <c r="N33" s="32"/>
      <c r="AC33">
        <f t="shared" si="0"/>
        <v>0</v>
      </c>
    </row>
    <row r="34" spans="1:29" x14ac:dyDescent="0.25">
      <c r="A34" s="105">
        <v>20</v>
      </c>
      <c r="B34" s="83" t="s">
        <v>106</v>
      </c>
      <c r="C34" s="108">
        <v>2600</v>
      </c>
      <c r="D34" s="32"/>
      <c r="E34" s="32"/>
      <c r="F34" s="32">
        <v>2841.0902000000001</v>
      </c>
      <c r="G34" s="32"/>
      <c r="H34" s="32"/>
      <c r="I34" s="32"/>
      <c r="J34" s="32"/>
      <c r="K34" s="32">
        <v>3293.6022116078025</v>
      </c>
      <c r="L34" s="32"/>
      <c r="M34" s="32"/>
      <c r="N34" s="32"/>
      <c r="AC34">
        <f t="shared" si="0"/>
        <v>0</v>
      </c>
    </row>
    <row r="35" spans="1:29" x14ac:dyDescent="0.25">
      <c r="A35" s="142">
        <v>21</v>
      </c>
      <c r="B35" s="103" t="s">
        <v>107</v>
      </c>
      <c r="C35" s="113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AC35">
        <f t="shared" si="0"/>
        <v>0</v>
      </c>
    </row>
    <row r="36" spans="1:29" s="74" customFormat="1" x14ac:dyDescent="0.25">
      <c r="A36" s="105">
        <v>22</v>
      </c>
      <c r="B36" s="83" t="s">
        <v>108</v>
      </c>
      <c r="C36" s="108">
        <v>2400</v>
      </c>
      <c r="D36" s="32"/>
      <c r="E36" s="32"/>
      <c r="F36" s="32"/>
      <c r="G36" s="32"/>
      <c r="H36" s="32">
        <v>2782.2577783199999</v>
      </c>
      <c r="I36" s="32"/>
      <c r="J36" s="32"/>
      <c r="K36" s="32"/>
      <c r="L36" s="32"/>
      <c r="M36" s="32"/>
      <c r="N36" s="32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>
        <f t="shared" si="0"/>
        <v>0</v>
      </c>
    </row>
    <row r="37" spans="1:29" x14ac:dyDescent="0.25">
      <c r="A37" s="105">
        <v>23</v>
      </c>
      <c r="B37" s="109" t="s">
        <v>109</v>
      </c>
      <c r="C37" s="112">
        <v>3252</v>
      </c>
      <c r="D37" s="32"/>
      <c r="E37" s="32"/>
      <c r="F37" s="32"/>
      <c r="G37" s="32">
        <v>3660.15465012</v>
      </c>
      <c r="H37" s="32"/>
      <c r="I37" s="32"/>
      <c r="J37" s="32"/>
      <c r="K37" s="32"/>
      <c r="L37" s="32"/>
      <c r="M37" s="32">
        <v>4370.4160656270851</v>
      </c>
      <c r="N37" s="32"/>
      <c r="AC37">
        <f t="shared" si="0"/>
        <v>0</v>
      </c>
    </row>
    <row r="38" spans="1:29" x14ac:dyDescent="0.25">
      <c r="A38" s="142">
        <v>24</v>
      </c>
      <c r="B38" s="103" t="s">
        <v>110</v>
      </c>
      <c r="C38" s="113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AC38">
        <f t="shared" si="0"/>
        <v>0</v>
      </c>
    </row>
    <row r="39" spans="1:29" x14ac:dyDescent="0.25">
      <c r="A39" s="105">
        <v>25</v>
      </c>
      <c r="B39" s="109" t="s">
        <v>111</v>
      </c>
      <c r="C39" s="112">
        <v>16560</v>
      </c>
      <c r="D39" s="32"/>
      <c r="E39" s="32"/>
      <c r="F39" s="32">
        <v>18095.559120000002</v>
      </c>
      <c r="G39" s="32"/>
      <c r="H39" s="32"/>
      <c r="I39" s="32">
        <v>19773.506030520242</v>
      </c>
      <c r="J39" s="32"/>
      <c r="K39" s="32"/>
      <c r="L39" s="32">
        <v>21607.043924212296</v>
      </c>
      <c r="M39" s="32"/>
      <c r="N39" s="32"/>
      <c r="AC39">
        <f t="shared" si="0"/>
        <v>0</v>
      </c>
    </row>
    <row r="40" spans="1:29" x14ac:dyDescent="0.25">
      <c r="A40" s="105">
        <v>26</v>
      </c>
      <c r="B40" s="83" t="s">
        <v>112</v>
      </c>
      <c r="C40" s="108">
        <v>2490</v>
      </c>
      <c r="D40" s="32"/>
      <c r="E40" s="32"/>
      <c r="F40" s="32"/>
      <c r="G40" s="32">
        <v>2802.5169369000005</v>
      </c>
      <c r="H40" s="32"/>
      <c r="I40" s="32"/>
      <c r="J40" s="32"/>
      <c r="K40" s="32"/>
      <c r="L40" s="32"/>
      <c r="M40" s="32">
        <v>3346.3517845668648</v>
      </c>
      <c r="N40" s="32"/>
      <c r="AC40">
        <f t="shared" si="0"/>
        <v>0</v>
      </c>
    </row>
    <row r="41" spans="1:29" x14ac:dyDescent="0.25">
      <c r="A41" s="105">
        <v>27</v>
      </c>
      <c r="B41" s="109" t="s">
        <v>114</v>
      </c>
      <c r="C41" s="112">
        <v>14400</v>
      </c>
      <c r="D41" s="32"/>
      <c r="E41" s="32"/>
      <c r="F41" s="32"/>
      <c r="G41" s="32"/>
      <c r="H41" s="32"/>
      <c r="I41" s="32"/>
      <c r="J41" s="32"/>
      <c r="K41" s="32"/>
      <c r="L41" s="32">
        <v>18788.733847141131</v>
      </c>
      <c r="M41" s="32"/>
      <c r="N41" s="32"/>
      <c r="AC41">
        <f t="shared" si="0"/>
        <v>0</v>
      </c>
    </row>
    <row r="42" spans="1:29" x14ac:dyDescent="0.25">
      <c r="A42" s="105">
        <v>28</v>
      </c>
      <c r="B42" s="83" t="s">
        <v>116</v>
      </c>
      <c r="C42" s="108">
        <v>2216</v>
      </c>
      <c r="D42" s="32"/>
      <c r="E42" s="32"/>
      <c r="F42" s="32">
        <v>2421.4830320000001</v>
      </c>
      <c r="G42" s="32"/>
      <c r="H42" s="32"/>
      <c r="I42" s="32">
        <v>2646.0198891082641</v>
      </c>
      <c r="J42" s="32"/>
      <c r="K42" s="32"/>
      <c r="L42" s="32">
        <v>2891.3773753656064</v>
      </c>
      <c r="M42" s="32"/>
      <c r="N42" s="32"/>
      <c r="AC42">
        <f t="shared" si="0"/>
        <v>0</v>
      </c>
    </row>
    <row r="43" spans="1:29" x14ac:dyDescent="0.25">
      <c r="A43" s="105">
        <v>29</v>
      </c>
      <c r="B43" s="109" t="s">
        <v>117</v>
      </c>
      <c r="C43" s="112">
        <v>1950</v>
      </c>
      <c r="D43" s="32"/>
      <c r="E43" s="32"/>
      <c r="F43" s="32">
        <v>2130.81765</v>
      </c>
      <c r="G43" s="32"/>
      <c r="H43" s="32"/>
      <c r="I43" s="32">
        <v>2328.4019782315504</v>
      </c>
      <c r="J43" s="32"/>
      <c r="K43" s="32"/>
      <c r="L43" s="32">
        <v>2544.3077084670276</v>
      </c>
      <c r="M43" s="32"/>
      <c r="N43" s="32"/>
      <c r="AC43">
        <f t="shared" si="0"/>
        <v>0</v>
      </c>
    </row>
    <row r="44" spans="1:29" x14ac:dyDescent="0.25">
      <c r="A44" s="142">
        <v>30</v>
      </c>
      <c r="B44" s="103" t="s">
        <v>118</v>
      </c>
      <c r="C44" s="113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AC44">
        <f t="shared" si="0"/>
        <v>0</v>
      </c>
    </row>
    <row r="45" spans="1:29" x14ac:dyDescent="0.25">
      <c r="A45" s="105">
        <v>31</v>
      </c>
      <c r="B45" s="109" t="s">
        <v>119</v>
      </c>
      <c r="C45" s="112">
        <v>4308</v>
      </c>
      <c r="D45" s="32"/>
      <c r="E45" s="32"/>
      <c r="F45" s="32"/>
      <c r="G45" s="32"/>
      <c r="H45" s="32">
        <v>4994.1527120844003</v>
      </c>
      <c r="I45" s="32"/>
      <c r="J45" s="32"/>
      <c r="K45" s="32"/>
      <c r="L45" s="32"/>
      <c r="M45" s="32"/>
      <c r="N45" s="32"/>
      <c r="AC45">
        <f t="shared" si="0"/>
        <v>0</v>
      </c>
    </row>
    <row r="46" spans="1:29" x14ac:dyDescent="0.25">
      <c r="A46" s="105">
        <v>32</v>
      </c>
      <c r="B46" s="83" t="s">
        <v>120</v>
      </c>
      <c r="C46" s="108">
        <v>12000</v>
      </c>
      <c r="D46" s="32"/>
      <c r="E46" s="32"/>
      <c r="F46" s="32"/>
      <c r="G46" s="32"/>
      <c r="H46" s="32"/>
      <c r="I46" s="32"/>
      <c r="J46" s="32"/>
      <c r="K46" s="32"/>
      <c r="L46" s="32"/>
      <c r="M46" s="32">
        <v>16126.996552129467</v>
      </c>
      <c r="N46" s="32"/>
      <c r="AC46">
        <f t="shared" si="0"/>
        <v>0</v>
      </c>
    </row>
    <row r="47" spans="1:29" x14ac:dyDescent="0.25">
      <c r="A47" s="142">
        <v>33</v>
      </c>
      <c r="B47" s="103" t="s">
        <v>121</v>
      </c>
      <c r="C47" s="113"/>
      <c r="D47" s="32"/>
      <c r="E47" s="32"/>
      <c r="F47" s="32"/>
      <c r="G47" s="32"/>
      <c r="H47" s="32"/>
      <c r="I47" s="32"/>
      <c r="J47" s="32"/>
      <c r="K47" s="32"/>
      <c r="L47" s="32"/>
      <c r="M47" s="32"/>
      <c r="N47" s="32"/>
      <c r="AC47">
        <f t="shared" si="0"/>
        <v>0</v>
      </c>
    </row>
    <row r="48" spans="1:29" x14ac:dyDescent="0.25">
      <c r="A48" s="142">
        <v>34</v>
      </c>
      <c r="B48" s="103" t="s">
        <v>122</v>
      </c>
      <c r="C48" s="113"/>
      <c r="D48" s="32"/>
      <c r="E48" s="32"/>
      <c r="F48" s="32"/>
      <c r="G48" s="32"/>
      <c r="H48" s="32"/>
      <c r="I48" s="32"/>
      <c r="J48" s="32"/>
      <c r="K48" s="32"/>
      <c r="L48" s="32"/>
      <c r="M48" s="32"/>
      <c r="N48" s="32"/>
      <c r="AC48">
        <f t="shared" si="0"/>
        <v>0</v>
      </c>
    </row>
    <row r="49" spans="1:29" x14ac:dyDescent="0.25">
      <c r="A49" s="142">
        <v>35</v>
      </c>
      <c r="B49" s="103" t="s">
        <v>123</v>
      </c>
      <c r="C49" s="113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AC49">
        <f t="shared" si="0"/>
        <v>0</v>
      </c>
    </row>
    <row r="50" spans="1:29" x14ac:dyDescent="0.25">
      <c r="A50" s="105">
        <v>36</v>
      </c>
      <c r="B50" s="83" t="s">
        <v>124</v>
      </c>
      <c r="C50" s="108">
        <v>2500</v>
      </c>
      <c r="D50" s="32"/>
      <c r="E50" s="32"/>
      <c r="F50" s="32">
        <v>2731.8175000000001</v>
      </c>
      <c r="G50" s="32"/>
      <c r="H50" s="32"/>
      <c r="I50" s="32"/>
      <c r="J50" s="32"/>
      <c r="K50" s="32"/>
      <c r="L50" s="32"/>
      <c r="M50" s="32"/>
      <c r="N50" s="32"/>
      <c r="AC50">
        <f t="shared" si="0"/>
        <v>0</v>
      </c>
    </row>
    <row r="51" spans="1:29" x14ac:dyDescent="0.25">
      <c r="A51" s="105">
        <v>37</v>
      </c>
      <c r="B51" s="109" t="s">
        <v>125</v>
      </c>
      <c r="C51" s="112">
        <v>6000</v>
      </c>
      <c r="D51" s="32"/>
      <c r="E51" s="32"/>
      <c r="F51" s="32"/>
      <c r="G51" s="32"/>
      <c r="H51" s="32"/>
      <c r="I51" s="32"/>
      <c r="J51" s="32"/>
      <c r="K51" s="32">
        <v>7600.6204883256987</v>
      </c>
      <c r="L51" s="32"/>
      <c r="M51" s="32"/>
      <c r="N51" s="32"/>
      <c r="AC51">
        <f t="shared" si="0"/>
        <v>0</v>
      </c>
    </row>
    <row r="52" spans="1:29" x14ac:dyDescent="0.25">
      <c r="A52" s="142">
        <v>38</v>
      </c>
      <c r="B52" s="103" t="s">
        <v>126</v>
      </c>
      <c r="C52" s="113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AC52">
        <f t="shared" si="0"/>
        <v>0</v>
      </c>
    </row>
    <row r="53" spans="1:29" x14ac:dyDescent="0.25">
      <c r="A53" s="105">
        <v>39</v>
      </c>
      <c r="B53" s="109" t="s">
        <v>127</v>
      </c>
      <c r="C53" s="112">
        <v>18500</v>
      </c>
      <c r="D53" s="32"/>
      <c r="E53" s="32"/>
      <c r="F53" s="32"/>
      <c r="G53" s="32"/>
      <c r="H53" s="32"/>
      <c r="I53" s="32"/>
      <c r="J53" s="32"/>
      <c r="K53" s="32"/>
      <c r="L53" s="32">
        <v>24138.303900841027</v>
      </c>
      <c r="M53" s="32"/>
      <c r="N53" s="32"/>
      <c r="AC53">
        <f t="shared" si="0"/>
        <v>0</v>
      </c>
    </row>
    <row r="54" spans="1:29" x14ac:dyDescent="0.25">
      <c r="A54" s="142">
        <v>40</v>
      </c>
      <c r="B54" s="103" t="s">
        <v>128</v>
      </c>
      <c r="C54" s="113"/>
      <c r="D54" s="32"/>
      <c r="E54" s="32"/>
      <c r="F54" s="32"/>
      <c r="G54" s="32"/>
      <c r="H54" s="32"/>
      <c r="I54" s="32"/>
      <c r="J54" s="32"/>
      <c r="K54" s="32"/>
      <c r="L54" s="32"/>
      <c r="M54" s="32"/>
      <c r="N54" s="32"/>
      <c r="AC54">
        <f t="shared" si="0"/>
        <v>0</v>
      </c>
    </row>
    <row r="55" spans="1:29" x14ac:dyDescent="0.25">
      <c r="A55" s="105">
        <v>41</v>
      </c>
      <c r="B55" s="109" t="s">
        <v>129</v>
      </c>
      <c r="C55" s="112">
        <v>5000</v>
      </c>
      <c r="D55" s="32">
        <v>5150</v>
      </c>
      <c r="E55" s="32"/>
      <c r="F55" s="32"/>
      <c r="G55" s="32">
        <v>5627.5440500000004</v>
      </c>
      <c r="H55" s="32"/>
      <c r="I55" s="32"/>
      <c r="J55" s="32">
        <v>6149.3693271243501</v>
      </c>
      <c r="K55" s="32"/>
      <c r="L55" s="32"/>
      <c r="M55" s="32">
        <v>6719.5818967206096</v>
      </c>
      <c r="N55" s="32"/>
      <c r="AC55">
        <f t="shared" si="0"/>
        <v>0</v>
      </c>
    </row>
    <row r="56" spans="1:29" x14ac:dyDescent="0.25">
      <c r="A56" s="105">
        <v>42</v>
      </c>
      <c r="B56" s="83" t="s">
        <v>130</v>
      </c>
      <c r="C56" s="108">
        <v>2400</v>
      </c>
      <c r="D56" s="32"/>
      <c r="E56" s="32"/>
      <c r="F56" s="32"/>
      <c r="G56" s="32">
        <v>2701.2211440000001</v>
      </c>
      <c r="H56" s="32"/>
      <c r="I56" s="32"/>
      <c r="J56" s="32"/>
      <c r="K56" s="32"/>
      <c r="L56" s="32">
        <v>3131.4556411901872</v>
      </c>
      <c r="M56" s="32"/>
      <c r="N56" s="32"/>
      <c r="AC56">
        <f t="shared" si="0"/>
        <v>0</v>
      </c>
    </row>
    <row r="57" spans="1:29" x14ac:dyDescent="0.25">
      <c r="A57" s="142">
        <v>43</v>
      </c>
      <c r="B57" s="103" t="s">
        <v>131</v>
      </c>
      <c r="C57" s="113"/>
      <c r="D57" s="32"/>
      <c r="E57" s="32"/>
      <c r="F57" s="32"/>
      <c r="G57" s="32"/>
      <c r="H57" s="32"/>
      <c r="I57" s="32"/>
      <c r="J57" s="32"/>
      <c r="K57" s="32"/>
      <c r="L57" s="32"/>
      <c r="M57" s="32"/>
      <c r="N57" s="32"/>
      <c r="AC57">
        <f t="shared" si="0"/>
        <v>0</v>
      </c>
    </row>
    <row r="58" spans="1:29" x14ac:dyDescent="0.25">
      <c r="A58" s="105">
        <v>44</v>
      </c>
      <c r="B58" s="83" t="s">
        <v>132</v>
      </c>
      <c r="C58" s="108">
        <v>20000</v>
      </c>
      <c r="D58" s="32"/>
      <c r="E58" s="32"/>
      <c r="F58" s="32"/>
      <c r="G58" s="32"/>
      <c r="H58" s="32"/>
      <c r="I58" s="32"/>
      <c r="J58" s="32">
        <v>24597.4773084974</v>
      </c>
      <c r="K58" s="32"/>
      <c r="L58" s="32"/>
      <c r="M58" s="32"/>
      <c r="N58" s="32"/>
      <c r="AC58">
        <f t="shared" si="0"/>
        <v>0</v>
      </c>
    </row>
    <row r="59" spans="1:29" x14ac:dyDescent="0.25">
      <c r="A59" s="105">
        <v>45</v>
      </c>
      <c r="B59" s="109" t="s">
        <v>133</v>
      </c>
      <c r="C59" s="112">
        <v>7388</v>
      </c>
      <c r="D59" s="32"/>
      <c r="E59" s="32"/>
      <c r="F59" s="32"/>
      <c r="G59" s="32"/>
      <c r="H59" s="32"/>
      <c r="I59" s="32"/>
      <c r="J59" s="32"/>
      <c r="K59" s="32">
        <v>9358.8973612917089</v>
      </c>
      <c r="L59" s="32"/>
      <c r="M59" s="32"/>
      <c r="N59" s="32"/>
      <c r="AC59">
        <f t="shared" si="0"/>
        <v>0</v>
      </c>
    </row>
    <row r="60" spans="1:29" x14ac:dyDescent="0.25">
      <c r="A60" s="142">
        <v>46</v>
      </c>
      <c r="B60" s="103" t="s">
        <v>134</v>
      </c>
      <c r="C60" s="113"/>
      <c r="D60" s="32"/>
      <c r="E60" s="32"/>
      <c r="F60" s="32"/>
      <c r="G60" s="32"/>
      <c r="H60" s="32"/>
      <c r="I60" s="32"/>
      <c r="J60" s="32"/>
      <c r="K60" s="32"/>
      <c r="L60" s="32"/>
      <c r="M60" s="32"/>
      <c r="N60" s="32"/>
      <c r="AC60">
        <f t="shared" si="0"/>
        <v>0</v>
      </c>
    </row>
    <row r="61" spans="1:29" x14ac:dyDescent="0.25">
      <c r="A61" s="142">
        <v>47</v>
      </c>
      <c r="B61" s="103" t="s">
        <v>135</v>
      </c>
      <c r="C61" s="113"/>
      <c r="D61" s="32"/>
      <c r="E61" s="32"/>
      <c r="F61" s="32"/>
      <c r="G61" s="32"/>
      <c r="H61" s="32"/>
      <c r="I61" s="32"/>
      <c r="J61" s="32"/>
      <c r="K61" s="32"/>
      <c r="L61" s="32"/>
      <c r="M61" s="32"/>
      <c r="N61" s="32"/>
      <c r="AC61">
        <f t="shared" si="0"/>
        <v>0</v>
      </c>
    </row>
    <row r="62" spans="1:29" x14ac:dyDescent="0.25">
      <c r="A62" s="105">
        <v>48</v>
      </c>
      <c r="B62" s="83" t="s">
        <v>136</v>
      </c>
      <c r="C62" s="108">
        <v>880</v>
      </c>
      <c r="D62" s="32"/>
      <c r="E62" s="32"/>
      <c r="F62" s="32"/>
      <c r="G62" s="32">
        <v>990.4477528000001</v>
      </c>
      <c r="H62" s="32"/>
      <c r="I62" s="32"/>
      <c r="J62" s="32"/>
      <c r="K62" s="32"/>
      <c r="L62" s="32"/>
      <c r="M62" s="32"/>
      <c r="N62" s="32"/>
      <c r="AC62">
        <f t="shared" si="0"/>
        <v>0</v>
      </c>
    </row>
    <row r="63" spans="1:29" x14ac:dyDescent="0.25">
      <c r="A63" s="142">
        <v>49</v>
      </c>
      <c r="B63" s="103" t="s">
        <v>137</v>
      </c>
      <c r="C63" s="113"/>
      <c r="D63" s="32"/>
      <c r="E63" s="32"/>
      <c r="F63" s="32"/>
      <c r="G63" s="32"/>
      <c r="H63" s="32"/>
      <c r="I63" s="32"/>
      <c r="J63" s="32"/>
      <c r="K63" s="32"/>
      <c r="L63" s="32"/>
      <c r="M63" s="32"/>
      <c r="N63" s="32"/>
      <c r="AC63">
        <f t="shared" si="0"/>
        <v>0</v>
      </c>
    </row>
    <row r="64" spans="1:29" x14ac:dyDescent="0.25">
      <c r="A64" s="105">
        <v>50</v>
      </c>
      <c r="B64" s="83" t="s">
        <v>138</v>
      </c>
      <c r="C64" s="108">
        <v>5100</v>
      </c>
      <c r="D64" s="32"/>
      <c r="E64" s="32"/>
      <c r="F64" s="32"/>
      <c r="G64" s="32"/>
      <c r="H64" s="32"/>
      <c r="I64" s="32"/>
      <c r="J64" s="32">
        <v>6272.356713666838</v>
      </c>
      <c r="K64" s="32"/>
      <c r="L64" s="32"/>
      <c r="M64" s="32"/>
      <c r="N64" s="32"/>
      <c r="AC64">
        <f t="shared" si="0"/>
        <v>0</v>
      </c>
    </row>
    <row r="65" spans="1:29" x14ac:dyDescent="0.25">
      <c r="A65" s="105">
        <v>51</v>
      </c>
      <c r="B65" s="109" t="s">
        <v>139</v>
      </c>
      <c r="C65" s="112">
        <v>5916</v>
      </c>
      <c r="D65" s="32"/>
      <c r="E65" s="32"/>
      <c r="F65" s="32"/>
      <c r="G65" s="32"/>
      <c r="H65" s="32"/>
      <c r="I65" s="32">
        <v>7064.0133862655657</v>
      </c>
      <c r="J65" s="32"/>
      <c r="K65" s="32"/>
      <c r="L65" s="32"/>
      <c r="M65" s="32"/>
      <c r="N65" s="32"/>
      <c r="AC65">
        <f t="shared" si="0"/>
        <v>0</v>
      </c>
    </row>
    <row r="66" spans="1:29" x14ac:dyDescent="0.25">
      <c r="A66" s="142">
        <v>52</v>
      </c>
      <c r="B66" s="103" t="s">
        <v>140</v>
      </c>
      <c r="C66" s="113"/>
      <c r="D66" s="32"/>
      <c r="E66" s="32"/>
      <c r="F66" s="32"/>
      <c r="G66" s="32"/>
      <c r="H66" s="32"/>
      <c r="I66" s="32"/>
      <c r="J66" s="32"/>
      <c r="K66" s="32"/>
      <c r="L66" s="32"/>
      <c r="M66" s="32"/>
      <c r="N66" s="32"/>
      <c r="AC66">
        <f t="shared" si="0"/>
        <v>0</v>
      </c>
    </row>
    <row r="67" spans="1:29" x14ac:dyDescent="0.25">
      <c r="A67" s="105">
        <v>53</v>
      </c>
      <c r="B67" s="109" t="s">
        <v>141</v>
      </c>
      <c r="C67" s="112">
        <v>69750</v>
      </c>
      <c r="D67" s="32"/>
      <c r="E67" s="32"/>
      <c r="F67" s="32"/>
      <c r="G67" s="32"/>
      <c r="H67" s="32"/>
      <c r="I67" s="32">
        <v>83285.147682897761</v>
      </c>
      <c r="J67" s="32"/>
      <c r="K67" s="32"/>
      <c r="L67" s="32"/>
      <c r="M67" s="32"/>
      <c r="N67" s="32"/>
      <c r="AC67">
        <f t="shared" si="0"/>
        <v>0</v>
      </c>
    </row>
    <row r="68" spans="1:29" x14ac:dyDescent="0.25">
      <c r="A68" s="142">
        <v>54</v>
      </c>
      <c r="B68" s="103" t="s">
        <v>142</v>
      </c>
      <c r="C68" s="113"/>
      <c r="D68" s="32"/>
      <c r="E68" s="32"/>
      <c r="F68" s="32"/>
      <c r="G68" s="32"/>
      <c r="H68" s="32"/>
      <c r="I68" s="32"/>
      <c r="J68" s="32"/>
      <c r="K68" s="32"/>
      <c r="L68" s="32"/>
      <c r="M68" s="32"/>
      <c r="N68" s="32"/>
      <c r="AC68">
        <f t="shared" si="0"/>
        <v>0</v>
      </c>
    </row>
    <row r="69" spans="1:29" x14ac:dyDescent="0.25">
      <c r="A69" s="105">
        <v>55</v>
      </c>
      <c r="B69" s="109" t="s">
        <v>143</v>
      </c>
      <c r="C69" s="112">
        <v>6400</v>
      </c>
      <c r="D69" s="32"/>
      <c r="E69" s="32"/>
      <c r="F69" s="32"/>
      <c r="G69" s="32"/>
      <c r="H69" s="32"/>
      <c r="I69" s="32">
        <v>7641.9346977856003</v>
      </c>
      <c r="J69" s="32"/>
      <c r="K69" s="32"/>
      <c r="L69" s="32"/>
      <c r="M69" s="32"/>
      <c r="N69" s="32"/>
      <c r="AC69">
        <f t="shared" si="0"/>
        <v>0</v>
      </c>
    </row>
    <row r="70" spans="1:29" x14ac:dyDescent="0.25">
      <c r="A70" s="105">
        <v>56</v>
      </c>
      <c r="B70" s="83" t="s">
        <v>144</v>
      </c>
      <c r="C70" s="108">
        <v>7500</v>
      </c>
      <c r="D70" s="32"/>
      <c r="E70" s="32"/>
      <c r="F70" s="32"/>
      <c r="G70" s="32"/>
      <c r="H70" s="32">
        <v>8694.5555572499998</v>
      </c>
      <c r="I70" s="32"/>
      <c r="J70" s="32"/>
      <c r="K70" s="32"/>
      <c r="L70" s="32"/>
      <c r="M70" s="32"/>
      <c r="N70" s="32"/>
      <c r="AC70">
        <f t="shared" si="0"/>
        <v>0</v>
      </c>
    </row>
    <row r="71" spans="1:29" x14ac:dyDescent="0.25">
      <c r="A71" s="142">
        <v>57</v>
      </c>
      <c r="B71" s="103" t="s">
        <v>145</v>
      </c>
      <c r="C71" s="103"/>
      <c r="D71" s="75">
        <v>6489</v>
      </c>
      <c r="E71" s="75">
        <v>3500.97</v>
      </c>
      <c r="F71" s="75">
        <v>107880.57</v>
      </c>
      <c r="G71" s="75">
        <v>112779.36</v>
      </c>
      <c r="H71" s="75">
        <v>49695.76</v>
      </c>
      <c r="I71" s="75">
        <v>185598.71</v>
      </c>
      <c r="J71" s="75">
        <v>46852.04</v>
      </c>
      <c r="K71" s="75">
        <v>24433.46</v>
      </c>
      <c r="L71" s="75">
        <v>133022.93</v>
      </c>
      <c r="M71" s="75">
        <v>34998.269999999997</v>
      </c>
      <c r="N71" s="32"/>
      <c r="AC71">
        <f t="shared" si="0"/>
        <v>0</v>
      </c>
    </row>
    <row r="72" spans="1:29" ht="15" customHeight="1" thickBot="1" x14ac:dyDescent="0.3">
      <c r="A72" s="142">
        <v>58</v>
      </c>
      <c r="B72" s="103" t="s">
        <v>146</v>
      </c>
      <c r="C72" s="113">
        <v>410670</v>
      </c>
      <c r="D72" s="145">
        <v>6489</v>
      </c>
      <c r="E72" s="72">
        <v>3500.9700000000003</v>
      </c>
      <c r="F72" s="72">
        <v>107880.56580200003</v>
      </c>
      <c r="G72" s="72">
        <v>112779.35928843</v>
      </c>
      <c r="H72" s="72">
        <v>49695.761017092416</v>
      </c>
      <c r="I72" s="72">
        <v>185598.71276328166</v>
      </c>
      <c r="J72" s="72">
        <v>46852.044903360424</v>
      </c>
      <c r="K72" s="72">
        <v>24433.461329804348</v>
      </c>
      <c r="L72" s="72">
        <v>133022.93086457535</v>
      </c>
      <c r="M72" s="72">
        <v>34998.270350879626</v>
      </c>
      <c r="N72" s="32"/>
      <c r="AC72">
        <f t="shared" si="0"/>
        <v>0</v>
      </c>
    </row>
    <row r="73" spans="1:29" ht="15" customHeight="1" thickTop="1" x14ac:dyDescent="0.25">
      <c r="C73" s="103"/>
      <c r="D73" s="32"/>
      <c r="E73" s="32"/>
      <c r="F73" s="32"/>
      <c r="G73" s="32"/>
      <c r="H73" s="32"/>
      <c r="I73" s="32"/>
      <c r="J73" s="32"/>
      <c r="K73" s="32"/>
      <c r="L73" s="32"/>
      <c r="M73" s="32"/>
      <c r="N73" s="32"/>
      <c r="AC73">
        <f t="shared" si="0"/>
        <v>0</v>
      </c>
    </row>
    <row r="74" spans="1:29" x14ac:dyDescent="0.25">
      <c r="B74" t="s">
        <v>205</v>
      </c>
      <c r="C74" s="73">
        <v>821340</v>
      </c>
      <c r="D74" s="75">
        <v>6489</v>
      </c>
      <c r="E74" s="75">
        <v>3500.9700000000003</v>
      </c>
      <c r="F74" s="75">
        <v>107880.56580200003</v>
      </c>
      <c r="G74" s="75">
        <v>112779.35928843</v>
      </c>
      <c r="H74" s="75">
        <v>49695.761017092416</v>
      </c>
      <c r="I74" s="75">
        <v>185598.71276328166</v>
      </c>
      <c r="J74" s="75">
        <v>46852.044903360424</v>
      </c>
      <c r="K74" s="75">
        <v>24433.461329804348</v>
      </c>
      <c r="L74" s="75">
        <v>133022.93086457535</v>
      </c>
      <c r="M74" s="75">
        <v>34998.270350879626</v>
      </c>
      <c r="N74" s="32"/>
      <c r="AC74">
        <f t="shared" si="0"/>
        <v>0</v>
      </c>
    </row>
    <row r="77" spans="1:29" x14ac:dyDescent="0.25">
      <c r="F77" s="40"/>
    </row>
  </sheetData>
  <pageMargins left="0.7" right="0.7" top="0.75" bottom="0.75" header="0.3" footer="0.3"/>
  <pageSetup paperSize="9" orientation="portrait" horizontalDpi="0" verticalDpi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B7"/>
  <sheetViews>
    <sheetView workbookViewId="0">
      <selection activeCell="A7" sqref="A7"/>
    </sheetView>
  </sheetViews>
  <sheetFormatPr defaultColWidth="8.85546875" defaultRowHeight="15" x14ac:dyDescent="0.25"/>
  <cols>
    <col min="1" max="1" width="27.28515625" style="56" customWidth="1"/>
  </cols>
  <sheetData>
    <row r="1" spans="1:2" ht="41.25" customHeight="1" x14ac:dyDescent="0.25">
      <c r="A1" s="55" t="s">
        <v>206</v>
      </c>
    </row>
    <row r="2" spans="1:2" x14ac:dyDescent="0.25">
      <c r="A2" s="69" t="s">
        <v>207</v>
      </c>
      <c r="B2" t="s">
        <v>8</v>
      </c>
    </row>
    <row r="3" spans="1:2" x14ac:dyDescent="0.25">
      <c r="A3" s="69" t="s">
        <v>208</v>
      </c>
      <c r="B3" t="s">
        <v>9</v>
      </c>
    </row>
    <row r="4" spans="1:2" x14ac:dyDescent="0.25">
      <c r="A4" s="70"/>
      <c r="B4" t="s">
        <v>10</v>
      </c>
    </row>
    <row r="5" spans="1:2" x14ac:dyDescent="0.25">
      <c r="A5" s="70"/>
      <c r="B5" t="s">
        <v>11</v>
      </c>
    </row>
    <row r="6" spans="1:2" x14ac:dyDescent="0.25">
      <c r="A6" s="70"/>
      <c r="B6" t="s">
        <v>12</v>
      </c>
    </row>
    <row r="7" spans="1:2" x14ac:dyDescent="0.25">
      <c r="A7" s="70"/>
      <c r="B7" t="s">
        <v>13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AE24"/>
  <sheetViews>
    <sheetView zoomScale="90" zoomScaleNormal="90" workbookViewId="0">
      <selection activeCell="H21" sqref="H21"/>
    </sheetView>
  </sheetViews>
  <sheetFormatPr defaultColWidth="8.85546875" defaultRowHeight="15" x14ac:dyDescent="0.25"/>
  <cols>
    <col min="1" max="1" width="43.42578125" bestFit="1" customWidth="1"/>
    <col min="2" max="2" width="18.85546875" bestFit="1" customWidth="1"/>
    <col min="3" max="3" width="19.42578125" bestFit="1" customWidth="1"/>
    <col min="4" max="5" width="9.85546875" bestFit="1" customWidth="1"/>
    <col min="6" max="6" width="11" bestFit="1" customWidth="1"/>
    <col min="7" max="7" width="9.85546875" bestFit="1" customWidth="1"/>
    <col min="8" max="9" width="11" bestFit="1" customWidth="1"/>
    <col min="10" max="10" width="9.85546875" bestFit="1" customWidth="1"/>
    <col min="11" max="11" width="11.140625" bestFit="1" customWidth="1"/>
    <col min="12" max="12" width="18.85546875" bestFit="1" customWidth="1"/>
    <col min="13" max="13" width="19.42578125" bestFit="1" customWidth="1"/>
    <col min="14" max="31" width="9.28515625" bestFit="1" customWidth="1"/>
  </cols>
  <sheetData>
    <row r="1" spans="1:31" ht="58.5" customHeight="1" x14ac:dyDescent="0.25"/>
    <row r="2" spans="1:31" x14ac:dyDescent="0.25">
      <c r="B2" s="98" t="s">
        <v>204</v>
      </c>
      <c r="C2" s="98">
        <f>'Future Value Calculator'!D14</f>
        <v>1</v>
      </c>
      <c r="D2" s="98">
        <f>'Future Value Calculator'!E14</f>
        <v>2</v>
      </c>
      <c r="E2" s="98">
        <f>'Future Value Calculator'!F14</f>
        <v>3</v>
      </c>
      <c r="F2" s="98">
        <f>'Future Value Calculator'!G14</f>
        <v>4</v>
      </c>
      <c r="G2" s="98">
        <f>'Future Value Calculator'!H14</f>
        <v>5</v>
      </c>
      <c r="H2" s="98">
        <f>'Future Value Calculator'!I14</f>
        <v>6</v>
      </c>
      <c r="I2" s="98">
        <f>'Future Value Calculator'!J14</f>
        <v>7</v>
      </c>
      <c r="J2" s="98">
        <f>'Future Value Calculator'!K14</f>
        <v>8</v>
      </c>
      <c r="K2" s="98">
        <f>'Future Value Calculator'!L14</f>
        <v>9</v>
      </c>
      <c r="L2" s="98">
        <f>'Future Value Calculator'!M14</f>
        <v>10</v>
      </c>
      <c r="M2" s="98">
        <f>'Future Value Calculator'!N14</f>
        <v>0</v>
      </c>
      <c r="N2" s="98">
        <f>'Future Value Calculator'!O14</f>
        <v>0</v>
      </c>
      <c r="O2" s="98">
        <f>'Future Value Calculator'!P14</f>
        <v>0</v>
      </c>
      <c r="P2" s="98">
        <f>'Future Value Calculator'!Q14</f>
        <v>0</v>
      </c>
      <c r="Q2" s="98">
        <f>'Future Value Calculator'!R14</f>
        <v>0</v>
      </c>
      <c r="R2" s="98">
        <f>'Future Value Calculator'!S14</f>
        <v>0</v>
      </c>
      <c r="S2" s="98">
        <f>'Future Value Calculator'!T14</f>
        <v>0</v>
      </c>
      <c r="T2" s="98">
        <f>'Future Value Calculator'!U14</f>
        <v>0</v>
      </c>
      <c r="U2" s="98">
        <f>'Future Value Calculator'!V14</f>
        <v>0</v>
      </c>
      <c r="V2" s="98">
        <f>'Future Value Calculator'!W14</f>
        <v>0</v>
      </c>
      <c r="W2" s="98">
        <f>'Future Value Calculator'!X14</f>
        <v>0</v>
      </c>
      <c r="X2" s="98">
        <f>'Future Value Calculator'!Y14</f>
        <v>0</v>
      </c>
      <c r="Y2" s="98">
        <f>'Future Value Calculator'!Z14</f>
        <v>0</v>
      </c>
      <c r="Z2" s="98">
        <f>'Future Value Calculator'!AA14</f>
        <v>0</v>
      </c>
      <c r="AA2" s="98">
        <f>'Future Value Calculator'!AB14</f>
        <v>0</v>
      </c>
      <c r="AB2" s="98" t="str">
        <f>'Future Value Calculator'!AC14</f>
        <v>Delete Row?</v>
      </c>
      <c r="AC2" s="98">
        <f>'Future Value Calculator'!AD14</f>
        <v>0</v>
      </c>
      <c r="AD2" s="98">
        <f>'Future Value Calculator'!AE14</f>
        <v>0</v>
      </c>
      <c r="AE2" s="98">
        <f>'Future Value Calculator'!AF14</f>
        <v>0</v>
      </c>
    </row>
    <row r="3" spans="1:31" x14ac:dyDescent="0.25">
      <c r="A3" s="98" t="s">
        <v>207</v>
      </c>
      <c r="B3" s="99" t="e">
        <f>#REF!</f>
        <v>#REF!</v>
      </c>
      <c r="C3" s="99" t="e">
        <f>#REF!</f>
        <v>#REF!</v>
      </c>
      <c r="D3" s="99" t="e">
        <f>#REF!</f>
        <v>#REF!</v>
      </c>
      <c r="E3" s="99" t="e">
        <f>#REF!</f>
        <v>#REF!</v>
      </c>
      <c r="F3" s="99" t="e">
        <f>#REF!</f>
        <v>#REF!</v>
      </c>
      <c r="G3" s="99" t="e">
        <f>#REF!</f>
        <v>#REF!</v>
      </c>
      <c r="H3" s="99" t="e">
        <f>#REF!</f>
        <v>#REF!</v>
      </c>
      <c r="I3" s="99" t="e">
        <f>#REF!</f>
        <v>#REF!</v>
      </c>
      <c r="J3" s="99" t="e">
        <f>#REF!</f>
        <v>#REF!</v>
      </c>
      <c r="K3" s="99" t="e">
        <f>#REF!</f>
        <v>#REF!</v>
      </c>
      <c r="L3" s="99" t="e">
        <f>#REF!</f>
        <v>#REF!</v>
      </c>
      <c r="M3" s="99" t="e">
        <f>#REF!</f>
        <v>#REF!</v>
      </c>
      <c r="N3" s="99" t="e">
        <f>#REF!</f>
        <v>#REF!</v>
      </c>
      <c r="O3" s="99" t="e">
        <f>#REF!</f>
        <v>#REF!</v>
      </c>
      <c r="P3" s="99" t="e">
        <f>#REF!</f>
        <v>#REF!</v>
      </c>
      <c r="Q3" s="99" t="e">
        <f>#REF!</f>
        <v>#REF!</v>
      </c>
      <c r="R3" s="99" t="e">
        <f>#REF!</f>
        <v>#REF!</v>
      </c>
      <c r="S3" s="99" t="e">
        <f>#REF!</f>
        <v>#REF!</v>
      </c>
      <c r="T3" s="99" t="e">
        <f>#REF!</f>
        <v>#REF!</v>
      </c>
      <c r="U3" s="99" t="e">
        <f>#REF!</f>
        <v>#REF!</v>
      </c>
      <c r="V3" s="99" t="e">
        <f>#REF!</f>
        <v>#REF!</v>
      </c>
      <c r="W3" s="99" t="e">
        <f>#REF!</f>
        <v>#REF!</v>
      </c>
      <c r="X3" s="99" t="e">
        <f>#REF!</f>
        <v>#REF!</v>
      </c>
      <c r="Y3" s="99" t="e">
        <f>#REF!</f>
        <v>#REF!</v>
      </c>
      <c r="Z3" s="99" t="e">
        <f>#REF!</f>
        <v>#REF!</v>
      </c>
      <c r="AA3" s="99" t="e">
        <f>#REF!</f>
        <v>#REF!</v>
      </c>
      <c r="AB3" s="99" t="e">
        <f>#REF!</f>
        <v>#REF!</v>
      </c>
      <c r="AC3" s="99" t="e">
        <f>#REF!</f>
        <v>#REF!</v>
      </c>
      <c r="AD3" s="99" t="e">
        <f>#REF!</f>
        <v>#REF!</v>
      </c>
      <c r="AE3" s="99" t="e">
        <f>#REF!</f>
        <v>#REF!</v>
      </c>
    </row>
    <row r="4" spans="1:31" x14ac:dyDescent="0.25">
      <c r="A4" s="71" t="s">
        <v>208</v>
      </c>
      <c r="B4" s="62" t="e">
        <f>#REF!</f>
        <v>#REF!</v>
      </c>
      <c r="C4" s="62" t="e">
        <f>#REF!</f>
        <v>#REF!</v>
      </c>
      <c r="D4" s="62" t="e">
        <f>#REF!</f>
        <v>#REF!</v>
      </c>
      <c r="E4" s="62" t="e">
        <f>#REF!</f>
        <v>#REF!</v>
      </c>
      <c r="F4" s="62" t="e">
        <f>#REF!</f>
        <v>#REF!</v>
      </c>
      <c r="G4" s="62" t="e">
        <f>#REF!</f>
        <v>#REF!</v>
      </c>
      <c r="H4" s="62" t="e">
        <f>#REF!</f>
        <v>#REF!</v>
      </c>
      <c r="I4" s="62" t="e">
        <f>#REF!</f>
        <v>#REF!</v>
      </c>
      <c r="J4" s="62" t="e">
        <f>#REF!</f>
        <v>#REF!</v>
      </c>
      <c r="K4" s="62" t="e">
        <f>#REF!</f>
        <v>#REF!</v>
      </c>
      <c r="L4" s="62" t="e">
        <f>#REF!</f>
        <v>#REF!</v>
      </c>
      <c r="M4" s="62" t="e">
        <f>#REF!</f>
        <v>#REF!</v>
      </c>
      <c r="N4" s="62" t="e">
        <f>#REF!</f>
        <v>#REF!</v>
      </c>
      <c r="O4" s="62" t="e">
        <f>#REF!</f>
        <v>#REF!</v>
      </c>
      <c r="P4" s="62" t="e">
        <f>#REF!</f>
        <v>#REF!</v>
      </c>
      <c r="Q4" s="62" t="e">
        <f>#REF!</f>
        <v>#REF!</v>
      </c>
      <c r="R4" s="62" t="e">
        <f>#REF!</f>
        <v>#REF!</v>
      </c>
      <c r="S4" s="62" t="e">
        <f>#REF!</f>
        <v>#REF!</v>
      </c>
      <c r="T4" s="62" t="e">
        <f>#REF!</f>
        <v>#REF!</v>
      </c>
      <c r="U4" s="62" t="e">
        <f>#REF!</f>
        <v>#REF!</v>
      </c>
      <c r="V4" s="62" t="e">
        <f>#REF!</f>
        <v>#REF!</v>
      </c>
      <c r="W4" s="62" t="e">
        <f>#REF!</f>
        <v>#REF!</v>
      </c>
      <c r="X4" s="62" t="e">
        <f>#REF!</f>
        <v>#REF!</v>
      </c>
      <c r="Y4" s="62" t="e">
        <f>#REF!</f>
        <v>#REF!</v>
      </c>
      <c r="Z4" s="62" t="e">
        <f>#REF!</f>
        <v>#REF!</v>
      </c>
      <c r="AA4" s="62" t="e">
        <f>#REF!</f>
        <v>#REF!</v>
      </c>
      <c r="AB4" s="62" t="e">
        <f>#REF!</f>
        <v>#REF!</v>
      </c>
      <c r="AC4" s="62" t="e">
        <f>#REF!</f>
        <v>#REF!</v>
      </c>
      <c r="AD4" s="62" t="e">
        <f>#REF!</f>
        <v>#REF!</v>
      </c>
      <c r="AE4" s="62" t="e">
        <f>#REF!</f>
        <v>#REF!</v>
      </c>
    </row>
    <row r="5" spans="1:31" x14ac:dyDescent="0.25">
      <c r="A5" s="33" t="s">
        <v>209</v>
      </c>
      <c r="B5" s="62" t="e">
        <f t="shared" ref="B5:AE5" si="0">SUM(B3:B4)</f>
        <v>#REF!</v>
      </c>
      <c r="C5" s="62" t="e">
        <f t="shared" si="0"/>
        <v>#REF!</v>
      </c>
      <c r="D5" s="62" t="e">
        <f t="shared" si="0"/>
        <v>#REF!</v>
      </c>
      <c r="E5" s="62" t="e">
        <f t="shared" si="0"/>
        <v>#REF!</v>
      </c>
      <c r="F5" s="62" t="e">
        <f t="shared" si="0"/>
        <v>#REF!</v>
      </c>
      <c r="G5" s="62" t="e">
        <f t="shared" si="0"/>
        <v>#REF!</v>
      </c>
      <c r="H5" s="62" t="e">
        <f t="shared" si="0"/>
        <v>#REF!</v>
      </c>
      <c r="I5" s="62" t="e">
        <f t="shared" si="0"/>
        <v>#REF!</v>
      </c>
      <c r="J5" s="62" t="e">
        <f t="shared" si="0"/>
        <v>#REF!</v>
      </c>
      <c r="K5" s="62" t="e">
        <f t="shared" si="0"/>
        <v>#REF!</v>
      </c>
      <c r="L5" s="62" t="e">
        <f t="shared" si="0"/>
        <v>#REF!</v>
      </c>
      <c r="M5" s="62" t="e">
        <f t="shared" si="0"/>
        <v>#REF!</v>
      </c>
      <c r="N5" s="62" t="e">
        <f t="shared" si="0"/>
        <v>#REF!</v>
      </c>
      <c r="O5" s="62" t="e">
        <f t="shared" si="0"/>
        <v>#REF!</v>
      </c>
      <c r="P5" s="62" t="e">
        <f t="shared" si="0"/>
        <v>#REF!</v>
      </c>
      <c r="Q5" s="62" t="e">
        <f t="shared" si="0"/>
        <v>#REF!</v>
      </c>
      <c r="R5" s="62" t="e">
        <f t="shared" si="0"/>
        <v>#REF!</v>
      </c>
      <c r="S5" s="62" t="e">
        <f t="shared" si="0"/>
        <v>#REF!</v>
      </c>
      <c r="T5" s="62" t="e">
        <f t="shared" si="0"/>
        <v>#REF!</v>
      </c>
      <c r="U5" s="62" t="e">
        <f t="shared" si="0"/>
        <v>#REF!</v>
      </c>
      <c r="V5" s="62" t="e">
        <f t="shared" si="0"/>
        <v>#REF!</v>
      </c>
      <c r="W5" s="62" t="e">
        <f t="shared" si="0"/>
        <v>#REF!</v>
      </c>
      <c r="X5" s="62" t="e">
        <f t="shared" si="0"/>
        <v>#REF!</v>
      </c>
      <c r="Y5" s="62" t="e">
        <f t="shared" si="0"/>
        <v>#REF!</v>
      </c>
      <c r="Z5" s="62" t="e">
        <f t="shared" si="0"/>
        <v>#REF!</v>
      </c>
      <c r="AA5" s="62" t="e">
        <f t="shared" si="0"/>
        <v>#REF!</v>
      </c>
      <c r="AB5" s="62" t="e">
        <f t="shared" si="0"/>
        <v>#REF!</v>
      </c>
      <c r="AC5" s="62" t="e">
        <f t="shared" si="0"/>
        <v>#REF!</v>
      </c>
      <c r="AD5" s="62" t="e">
        <f t="shared" si="0"/>
        <v>#REF!</v>
      </c>
      <c r="AE5" s="62" t="e">
        <f t="shared" si="0"/>
        <v>#REF!</v>
      </c>
    </row>
    <row r="6" spans="1:31" x14ac:dyDescent="0.25">
      <c r="A6" s="33"/>
    </row>
    <row r="12" spans="1:31" x14ac:dyDescent="0.25">
      <c r="B12" s="158" t="s">
        <v>210</v>
      </c>
      <c r="C12" s="159"/>
      <c r="D12" s="4"/>
      <c r="E12" s="4"/>
      <c r="F12" s="4"/>
      <c r="G12" s="4"/>
      <c r="J12" s="126"/>
      <c r="K12" s="126"/>
      <c r="L12" s="156" t="s">
        <v>211</v>
      </c>
      <c r="M12" s="157"/>
    </row>
    <row r="13" spans="1:31" x14ac:dyDescent="0.25">
      <c r="A13" t="s">
        <v>3</v>
      </c>
      <c r="B13" t="s">
        <v>207</v>
      </c>
      <c r="C13" t="s">
        <v>208</v>
      </c>
      <c r="J13" s="126"/>
      <c r="K13" s="126" t="s">
        <v>205</v>
      </c>
      <c r="L13" s="126" t="s">
        <v>207</v>
      </c>
      <c r="M13" s="126" t="s">
        <v>208</v>
      </c>
    </row>
    <row r="14" spans="1:31" x14ac:dyDescent="0.25">
      <c r="A14" t="s">
        <v>212</v>
      </c>
      <c r="B14" s="34">
        <v>0.25</v>
      </c>
      <c r="C14" s="34">
        <v>0.75</v>
      </c>
      <c r="D14" s="34"/>
      <c r="E14" s="34"/>
      <c r="F14" s="34"/>
      <c r="G14" s="34"/>
      <c r="J14" s="126" t="s">
        <v>178</v>
      </c>
      <c r="K14" s="60">
        <f>'Optimize Contribution'!$D8</f>
        <v>12395.794043520373</v>
      </c>
      <c r="L14" s="61">
        <f t="shared" ref="L14:L23" si="1">$B$24*K14</f>
        <v>5681.4056032801709</v>
      </c>
      <c r="M14" s="61">
        <f t="shared" ref="M14:M23" si="2">$C$24*K14</f>
        <v>6714.3884402402018</v>
      </c>
    </row>
    <row r="15" spans="1:31" x14ac:dyDescent="0.25">
      <c r="A15" t="s">
        <v>213</v>
      </c>
      <c r="B15" s="34">
        <v>0.5</v>
      </c>
      <c r="C15" s="34">
        <v>0.5</v>
      </c>
      <c r="D15" s="34"/>
      <c r="E15" s="34"/>
      <c r="F15" s="34"/>
      <c r="G15" s="34"/>
      <c r="J15" s="126" t="s">
        <v>179</v>
      </c>
      <c r="K15" s="60">
        <f>'Optimize Contribution'!$D9</f>
        <v>12767.667864825984</v>
      </c>
      <c r="L15" s="61">
        <f t="shared" si="1"/>
        <v>5851.847771378576</v>
      </c>
      <c r="M15" s="61">
        <f t="shared" si="2"/>
        <v>6915.8200934474071</v>
      </c>
    </row>
    <row r="16" spans="1:31" x14ac:dyDescent="0.25">
      <c r="A16" t="s">
        <v>214</v>
      </c>
      <c r="B16" s="34">
        <v>0.5</v>
      </c>
      <c r="C16" s="34">
        <v>0.5</v>
      </c>
      <c r="D16" s="34"/>
      <c r="E16" s="34"/>
      <c r="F16" s="34"/>
      <c r="G16" s="34"/>
      <c r="J16" s="126" t="s">
        <v>180</v>
      </c>
      <c r="K16" s="60">
        <f>'Optimize Contribution'!$D10</f>
        <v>13150.697900770763</v>
      </c>
      <c r="L16" s="61">
        <f t="shared" si="1"/>
        <v>6027.4032045199328</v>
      </c>
      <c r="M16" s="61">
        <f t="shared" si="2"/>
        <v>7123.2946962508295</v>
      </c>
    </row>
    <row r="17" spans="1:13" x14ac:dyDescent="0.25">
      <c r="A17" t="s">
        <v>215</v>
      </c>
      <c r="B17" s="34">
        <v>0.5</v>
      </c>
      <c r="C17" s="34">
        <v>0.5</v>
      </c>
      <c r="D17" s="34"/>
      <c r="E17" s="34"/>
      <c r="F17" s="34"/>
      <c r="G17" s="34"/>
      <c r="J17" s="126" t="s">
        <v>181</v>
      </c>
      <c r="K17" s="60">
        <f>'Optimize Contribution'!$D11</f>
        <v>13545.218837793886</v>
      </c>
      <c r="L17" s="61">
        <f t="shared" si="1"/>
        <v>6208.2253006555302</v>
      </c>
      <c r="M17" s="61">
        <f t="shared" si="2"/>
        <v>7336.9935371383544</v>
      </c>
    </row>
    <row r="18" spans="1:13" x14ac:dyDescent="0.25">
      <c r="A18" t="s">
        <v>216</v>
      </c>
      <c r="B18" s="34">
        <v>0.5</v>
      </c>
      <c r="C18" s="34">
        <v>0.5</v>
      </c>
      <c r="D18" s="34"/>
      <c r="E18" s="34"/>
      <c r="F18" s="34"/>
      <c r="G18" s="34"/>
      <c r="J18" s="126" t="s">
        <v>182</v>
      </c>
      <c r="K18" s="60">
        <f>'Optimize Contribution'!$D12</f>
        <v>13951.575402927701</v>
      </c>
      <c r="L18" s="61">
        <f t="shared" si="1"/>
        <v>6394.4720596751959</v>
      </c>
      <c r="M18" s="61">
        <f t="shared" si="2"/>
        <v>7557.1033432525046</v>
      </c>
    </row>
    <row r="19" spans="1:13" x14ac:dyDescent="0.25">
      <c r="A19" t="s">
        <v>217</v>
      </c>
      <c r="B19" s="34">
        <v>0.5</v>
      </c>
      <c r="C19" s="34">
        <v>0.5</v>
      </c>
      <c r="D19" s="34"/>
      <c r="E19" s="34"/>
      <c r="F19" s="34"/>
      <c r="G19" s="34"/>
      <c r="J19" s="126" t="s">
        <v>183</v>
      </c>
      <c r="K19" s="60">
        <f>'Optimize Contribution'!$D13</f>
        <v>14370.122665015531</v>
      </c>
      <c r="L19" s="61">
        <f t="shared" si="1"/>
        <v>6586.3062214654519</v>
      </c>
      <c r="M19" s="61">
        <f t="shared" si="2"/>
        <v>7783.8164435500785</v>
      </c>
    </row>
    <row r="20" spans="1:13" x14ac:dyDescent="0.25">
      <c r="B20" s="34"/>
      <c r="C20" s="34"/>
      <c r="D20" s="34"/>
      <c r="E20" s="34"/>
      <c r="F20" s="34"/>
      <c r="G20" s="34"/>
      <c r="J20" s="126" t="s">
        <v>184</v>
      </c>
      <c r="K20" s="60">
        <f>'Optimize Contribution'!$D14</f>
        <v>14801.226344965999</v>
      </c>
      <c r="L20" s="61">
        <f t="shared" si="1"/>
        <v>6783.8954081094162</v>
      </c>
      <c r="M20" s="61">
        <f t="shared" si="2"/>
        <v>8017.3309368565824</v>
      </c>
    </row>
    <row r="21" spans="1:13" x14ac:dyDescent="0.25">
      <c r="B21" s="34"/>
      <c r="C21" s="34"/>
      <c r="D21" s="34"/>
      <c r="E21" s="34"/>
      <c r="F21" s="34"/>
      <c r="G21" s="34"/>
      <c r="J21" s="126" t="s">
        <v>185</v>
      </c>
      <c r="K21" s="60">
        <f>'Optimize Contribution'!$D15</f>
        <v>15245.263135314979</v>
      </c>
      <c r="L21" s="61">
        <f t="shared" si="1"/>
        <v>6987.4122703526982</v>
      </c>
      <c r="M21" s="61">
        <f t="shared" si="2"/>
        <v>8257.85086496228</v>
      </c>
    </row>
    <row r="22" spans="1:13" x14ac:dyDescent="0.25">
      <c r="B22" s="34"/>
      <c r="C22" s="34"/>
      <c r="D22" s="34"/>
      <c r="E22" s="34"/>
      <c r="F22" s="34"/>
      <c r="G22" s="34"/>
      <c r="J22" s="126" t="s">
        <v>186</v>
      </c>
      <c r="K22" s="60">
        <f>'Optimize Contribution'!$D16</f>
        <v>15702.621029374428</v>
      </c>
      <c r="L22" s="61">
        <f t="shared" si="1"/>
        <v>7197.0346384632794</v>
      </c>
      <c r="M22" s="61">
        <f t="shared" si="2"/>
        <v>8505.5863909111486</v>
      </c>
    </row>
    <row r="23" spans="1:13" x14ac:dyDescent="0.25">
      <c r="B23" s="34"/>
      <c r="C23" s="34"/>
      <c r="D23" s="34"/>
      <c r="E23" s="34"/>
      <c r="F23" s="34"/>
      <c r="G23" s="34"/>
      <c r="J23" s="126" t="s">
        <v>187</v>
      </c>
      <c r="K23" s="60">
        <f>'Optimize Contribution'!$D17</f>
        <v>16173.699660255661</v>
      </c>
      <c r="L23" s="61">
        <f t="shared" si="1"/>
        <v>7412.9456776171774</v>
      </c>
      <c r="M23" s="61">
        <f t="shared" si="2"/>
        <v>8760.7539826384818</v>
      </c>
    </row>
    <row r="24" spans="1:13" x14ac:dyDescent="0.25">
      <c r="A24" t="s">
        <v>218</v>
      </c>
      <c r="B24" s="34">
        <f>AVERAGE(B14:B23)</f>
        <v>0.45833333333333331</v>
      </c>
      <c r="C24" s="34">
        <f>AVERAGE(C14:C23)</f>
        <v>0.54166666666666663</v>
      </c>
      <c r="D24" s="34"/>
      <c r="E24" s="34"/>
      <c r="F24" s="34"/>
      <c r="G24" s="34"/>
    </row>
  </sheetData>
  <mergeCells count="2">
    <mergeCell ref="L12:M12"/>
    <mergeCell ref="B12:C12"/>
  </mergeCells>
  <pageMargins left="0.7" right="0.7" top="0.75" bottom="0.75" header="0.3" footer="0.3"/>
  <pageSetup paperSize="9"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>
    <tabColor rgb="FFFFC000"/>
  </sheetPr>
  <dimension ref="A1:Z11"/>
  <sheetViews>
    <sheetView showGridLines="0" workbookViewId="0">
      <selection sqref="A1:H11"/>
    </sheetView>
  </sheetViews>
  <sheetFormatPr defaultColWidth="9.140625" defaultRowHeight="15" customHeight="1" x14ac:dyDescent="0.2"/>
  <cols>
    <col min="1" max="1" width="6.140625" style="58" customWidth="1"/>
    <col min="2" max="2" width="6.42578125" style="63" bestFit="1" customWidth="1"/>
    <col min="3" max="3" width="16.140625" style="63" customWidth="1"/>
    <col min="4" max="4" width="16.7109375" style="63" customWidth="1"/>
    <col min="5" max="5" width="5" style="63" customWidth="1"/>
    <col min="6" max="6" width="6" style="63" customWidth="1"/>
    <col min="7" max="8" width="9.7109375" style="63" customWidth="1"/>
    <col min="9" max="10" width="11" style="63" customWidth="1"/>
    <col min="11" max="26" width="9.140625" style="63" customWidth="1"/>
    <col min="27" max="27" width="9.140625" style="58" customWidth="1"/>
    <col min="28" max="16384" width="9.140625" style="58"/>
  </cols>
  <sheetData>
    <row r="1" spans="1:4" ht="15" customHeight="1" x14ac:dyDescent="0.2">
      <c r="A1" s="58" t="s">
        <v>149</v>
      </c>
      <c r="B1" s="63" t="s">
        <v>205</v>
      </c>
      <c r="C1" s="63" t="s">
        <v>207</v>
      </c>
      <c r="D1" s="63" t="s">
        <v>208</v>
      </c>
    </row>
    <row r="2" spans="1:4" ht="15" customHeight="1" x14ac:dyDescent="0.2">
      <c r="A2" s="58" t="s">
        <v>178</v>
      </c>
      <c r="B2" s="63">
        <v>16859.174074990991</v>
      </c>
      <c r="C2" s="63">
        <v>7727.1214510375357</v>
      </c>
      <c r="D2" s="63">
        <v>9132.0526239534502</v>
      </c>
    </row>
    <row r="3" spans="1:4" ht="15" customHeight="1" x14ac:dyDescent="0.2">
      <c r="A3" s="58" t="s">
        <v>179</v>
      </c>
      <c r="B3" s="63">
        <v>17280.65342686576</v>
      </c>
      <c r="C3" s="63">
        <v>7920.299487313473</v>
      </c>
      <c r="D3" s="63">
        <v>9360.3539395522857</v>
      </c>
    </row>
    <row r="4" spans="1:4" ht="15" customHeight="1" x14ac:dyDescent="0.2">
      <c r="A4" s="58" t="s">
        <v>180</v>
      </c>
      <c r="B4" s="63">
        <v>17712.6697625374</v>
      </c>
      <c r="C4" s="63">
        <v>8118.3069744963104</v>
      </c>
      <c r="D4" s="63">
        <v>9594.3627880410932</v>
      </c>
    </row>
    <row r="5" spans="1:4" ht="15" customHeight="1" x14ac:dyDescent="0.2">
      <c r="A5" s="58" t="s">
        <v>181</v>
      </c>
      <c r="B5" s="63">
        <v>18155.486506600839</v>
      </c>
      <c r="C5" s="63">
        <v>8321.2646488587179</v>
      </c>
      <c r="D5" s="63">
        <v>9834.2218577421208</v>
      </c>
    </row>
    <row r="6" spans="1:4" ht="15" customHeight="1" x14ac:dyDescent="0.2">
      <c r="A6" s="58" t="s">
        <v>182</v>
      </c>
      <c r="B6" s="63">
        <v>18609.37366926586</v>
      </c>
      <c r="C6" s="63">
        <v>8529.2962650801855</v>
      </c>
      <c r="D6" s="63">
        <v>10080.077404185669</v>
      </c>
    </row>
    <row r="7" spans="1:4" ht="15" customHeight="1" x14ac:dyDescent="0.2">
      <c r="A7" s="58" t="s">
        <v>183</v>
      </c>
      <c r="B7" s="63">
        <v>19074.608010997501</v>
      </c>
      <c r="C7" s="63">
        <v>8742.5286717071886</v>
      </c>
      <c r="D7" s="63">
        <v>10332.079339290311</v>
      </c>
    </row>
    <row r="8" spans="1:4" ht="15" customHeight="1" x14ac:dyDescent="0.2">
      <c r="A8" s="58" t="s">
        <v>184</v>
      </c>
      <c r="B8" s="63">
        <v>19551.473211272441</v>
      </c>
      <c r="C8" s="63">
        <v>8961.0918884998664</v>
      </c>
      <c r="D8" s="63">
        <v>10590.38132277257</v>
      </c>
    </row>
    <row r="9" spans="1:4" ht="15" customHeight="1" x14ac:dyDescent="0.2">
      <c r="A9" s="58" t="s">
        <v>185</v>
      </c>
      <c r="B9" s="63">
        <v>20040.260041554251</v>
      </c>
      <c r="C9" s="63">
        <v>9185.1191857123649</v>
      </c>
      <c r="D9" s="63">
        <v>10855.14085584189</v>
      </c>
    </row>
    <row r="10" spans="1:4" ht="15" customHeight="1" x14ac:dyDescent="0.2">
      <c r="A10" s="58" t="s">
        <v>186</v>
      </c>
      <c r="B10" s="63">
        <v>20541.266542593101</v>
      </c>
      <c r="C10" s="63">
        <v>9414.7471653551729</v>
      </c>
      <c r="D10" s="63">
        <v>11126.51937723793</v>
      </c>
    </row>
    <row r="11" spans="1:4" ht="15" customHeight="1" x14ac:dyDescent="0.2">
      <c r="A11" s="58" t="s">
        <v>187</v>
      </c>
      <c r="B11" s="63">
        <v>21054.798206157931</v>
      </c>
      <c r="C11" s="63">
        <v>9650.1158444890516</v>
      </c>
      <c r="D11" s="63">
        <v>11404.68236166888</v>
      </c>
    </row>
  </sheetData>
  <pageMargins left="0.7" right="0.7" top="0.75" bottom="0.75" header="0.3" footer="0.3"/>
  <pageSetup paperSize="9" orientation="portrait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>
    <tabColor rgb="FFFFC000"/>
  </sheetPr>
  <dimension ref="A1:Z7"/>
  <sheetViews>
    <sheetView zoomScaleNormal="100" workbookViewId="0">
      <selection sqref="A1:G11"/>
    </sheetView>
  </sheetViews>
  <sheetFormatPr defaultColWidth="9.140625" defaultRowHeight="15" customHeight="1" x14ac:dyDescent="0.2"/>
  <cols>
    <col min="1" max="1" width="33" style="58" bestFit="1" customWidth="1"/>
    <col min="2" max="2" width="16.140625" style="63" customWidth="1"/>
    <col min="3" max="3" width="16.7109375" style="63" customWidth="1"/>
    <col min="4" max="4" width="5" style="63" customWidth="1"/>
    <col min="5" max="5" width="6" style="63" customWidth="1"/>
    <col min="6" max="7" width="6.7109375" style="63" customWidth="1"/>
    <col min="8" max="26" width="9.140625" style="63" customWidth="1"/>
    <col min="27" max="27" width="9.140625" style="58" customWidth="1"/>
    <col min="28" max="16384" width="9.140625" style="58"/>
  </cols>
  <sheetData>
    <row r="1" spans="1:3" ht="15" customHeight="1" x14ac:dyDescent="0.2">
      <c r="A1" s="58" t="s">
        <v>3</v>
      </c>
      <c r="B1" s="63" t="s">
        <v>207</v>
      </c>
      <c r="C1" s="63" t="s">
        <v>208</v>
      </c>
    </row>
    <row r="2" spans="1:3" ht="15" customHeight="1" x14ac:dyDescent="0.2">
      <c r="A2" s="58" t="s">
        <v>212</v>
      </c>
      <c r="B2" s="63">
        <v>0.25</v>
      </c>
      <c r="C2" s="63">
        <v>0.75</v>
      </c>
    </row>
    <row r="3" spans="1:3" ht="15" customHeight="1" x14ac:dyDescent="0.2">
      <c r="A3" s="58" t="s">
        <v>213</v>
      </c>
      <c r="B3" s="63">
        <v>0.5</v>
      </c>
      <c r="C3" s="63">
        <v>0.5</v>
      </c>
    </row>
    <row r="4" spans="1:3" ht="15" customHeight="1" x14ac:dyDescent="0.2">
      <c r="A4" s="58" t="s">
        <v>214</v>
      </c>
      <c r="B4" s="63">
        <v>0.5</v>
      </c>
      <c r="C4" s="63">
        <v>0.5</v>
      </c>
    </row>
    <row r="5" spans="1:3" ht="15" customHeight="1" x14ac:dyDescent="0.2">
      <c r="A5" s="58" t="s">
        <v>215</v>
      </c>
      <c r="B5" s="63">
        <v>0.5</v>
      </c>
      <c r="C5" s="63">
        <v>0.5</v>
      </c>
    </row>
    <row r="6" spans="1:3" ht="15" customHeight="1" x14ac:dyDescent="0.2">
      <c r="A6" s="58" t="s">
        <v>216</v>
      </c>
      <c r="B6" s="63">
        <v>0.5</v>
      </c>
      <c r="C6" s="63">
        <v>0.5</v>
      </c>
    </row>
    <row r="7" spans="1:3" ht="15" customHeight="1" x14ac:dyDescent="0.2">
      <c r="A7" s="58" t="s">
        <v>217</v>
      </c>
      <c r="B7" s="63">
        <v>0.5</v>
      </c>
      <c r="C7" s="63">
        <v>0.5</v>
      </c>
    </row>
  </sheetData>
  <pageMargins left="0.7" right="0.7" top="0.75" bottom="0.75" header="0.3" footer="0.3"/>
  <pageSetup paperSize="9" orientation="portrait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>
    <tabColor rgb="FFFFC000"/>
  </sheetPr>
  <dimension ref="A1:Z4"/>
  <sheetViews>
    <sheetView workbookViewId="0">
      <selection sqref="A1:L5"/>
    </sheetView>
  </sheetViews>
  <sheetFormatPr defaultColWidth="9.140625" defaultRowHeight="11.25" x14ac:dyDescent="0.25"/>
  <cols>
    <col min="1" max="1" width="18.42578125" style="59" bestFit="1" customWidth="1"/>
    <col min="2" max="2" width="12.42578125" style="64" customWidth="1"/>
    <col min="3" max="3" width="6.42578125" style="64" bestFit="1" customWidth="1"/>
    <col min="4" max="5" width="5.7109375" style="64" bestFit="1" customWidth="1"/>
    <col min="6" max="14" width="6.42578125" style="64" bestFit="1" customWidth="1"/>
    <col min="15" max="15" width="8" style="64" customWidth="1"/>
    <col min="16" max="26" width="9.140625" style="64" customWidth="1"/>
    <col min="27" max="27" width="9.140625" style="57" customWidth="1"/>
    <col min="28" max="16384" width="9.140625" style="57"/>
  </cols>
  <sheetData>
    <row r="1" spans="1:12" s="66" customFormat="1" x14ac:dyDescent="0.25">
      <c r="A1" s="65" t="s">
        <v>219</v>
      </c>
      <c r="B1" s="66" t="s">
        <v>204</v>
      </c>
      <c r="C1" s="66" t="s">
        <v>220</v>
      </c>
      <c r="D1" s="66" t="s">
        <v>221</v>
      </c>
      <c r="E1" s="66" t="s">
        <v>222</v>
      </c>
      <c r="F1" s="66" t="s">
        <v>223</v>
      </c>
      <c r="G1" s="66" t="s">
        <v>224</v>
      </c>
      <c r="H1" s="66" t="s">
        <v>225</v>
      </c>
      <c r="I1" s="66" t="s">
        <v>226</v>
      </c>
      <c r="J1" s="66" t="s">
        <v>227</v>
      </c>
      <c r="K1" s="66" t="s">
        <v>228</v>
      </c>
      <c r="L1" s="66" t="s">
        <v>229</v>
      </c>
    </row>
    <row r="2" spans="1:12" x14ac:dyDescent="0.25">
      <c r="A2" s="59" t="s">
        <v>207</v>
      </c>
      <c r="B2" s="64">
        <v>104945</v>
      </c>
      <c r="C2" s="64">
        <v>8878.5499999999993</v>
      </c>
      <c r="D2" s="64">
        <v>1313.28125</v>
      </c>
      <c r="E2" s="64">
        <v>2757.9168906249988</v>
      </c>
      <c r="F2" s="64">
        <v>17350.834827734368</v>
      </c>
      <c r="G2" s="64">
        <v>5444.9020245361307</v>
      </c>
      <c r="H2" s="64">
        <v>23740.08396423607</v>
      </c>
      <c r="I2" s="64">
        <v>10439.03828871424</v>
      </c>
      <c r="J2" s="64">
        <v>7696.6511035701469</v>
      </c>
      <c r="K2" s="64">
        <v>5290.18354069831</v>
      </c>
      <c r="L2" s="64">
        <v>9487.9866415833967</v>
      </c>
    </row>
    <row r="3" spans="1:12" x14ac:dyDescent="0.25">
      <c r="A3" s="59" t="s">
        <v>208</v>
      </c>
      <c r="B3" s="64">
        <v>104945</v>
      </c>
      <c r="C3" s="64">
        <v>8878.5499999999993</v>
      </c>
      <c r="D3" s="64">
        <v>1313.28125</v>
      </c>
      <c r="E3" s="64">
        <v>2757.9168906249988</v>
      </c>
      <c r="F3" s="64">
        <v>17350.834827734368</v>
      </c>
      <c r="G3" s="64">
        <v>5444.9020245361307</v>
      </c>
      <c r="H3" s="64">
        <v>23740.08396423607</v>
      </c>
      <c r="I3" s="64">
        <v>10439.03828871424</v>
      </c>
      <c r="J3" s="64">
        <v>7696.6511035701469</v>
      </c>
      <c r="K3" s="64">
        <v>5290.18354069831</v>
      </c>
      <c r="L3" s="64">
        <v>9487.9866415833967</v>
      </c>
    </row>
    <row r="4" spans="1:12" x14ac:dyDescent="0.25">
      <c r="A4" s="59" t="s">
        <v>209</v>
      </c>
      <c r="B4" s="64">
        <v>209890</v>
      </c>
      <c r="C4" s="64">
        <v>17757.099999999999</v>
      </c>
      <c r="D4" s="64">
        <v>2626.5625</v>
      </c>
      <c r="E4" s="64">
        <v>5515.8337812499994</v>
      </c>
      <c r="F4" s="64">
        <v>34701.669655468737</v>
      </c>
      <c r="G4" s="64">
        <v>10889.80404907226</v>
      </c>
      <c r="H4" s="64">
        <v>47480.167928472147</v>
      </c>
      <c r="I4" s="64">
        <v>20878.076577428481</v>
      </c>
      <c r="J4" s="64">
        <v>15393.30220714029</v>
      </c>
      <c r="K4" s="64">
        <v>10580.36708139662</v>
      </c>
      <c r="L4" s="64">
        <v>18975.97328316679</v>
      </c>
    </row>
  </sheetData>
  <pageMargins left="0.7" right="0.7" top="0.75" bottom="0.75" header="0.3" footer="0.3"/>
  <pageSetup paperSize="9" orientation="landscape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>
    <tabColor rgb="FFFFC000"/>
  </sheetPr>
  <dimension ref="A1:Z44"/>
  <sheetViews>
    <sheetView zoomScale="90" zoomScaleNormal="90" workbookViewId="0">
      <selection sqref="A1:L44"/>
    </sheetView>
  </sheetViews>
  <sheetFormatPr defaultColWidth="9.140625" defaultRowHeight="11.25" x14ac:dyDescent="0.25"/>
  <cols>
    <col min="1" max="1" width="50.85546875" style="59" bestFit="1" customWidth="1"/>
    <col min="2" max="2" width="12" style="64" customWidth="1"/>
    <col min="3" max="3" width="6.42578125" style="64" bestFit="1" customWidth="1"/>
    <col min="4" max="5" width="5.7109375" style="64" bestFit="1" customWidth="1"/>
    <col min="6" max="12" width="6.42578125" style="64" bestFit="1" customWidth="1"/>
    <col min="13" max="14" width="7" style="64" bestFit="1" customWidth="1"/>
    <col min="15" max="19" width="5.7109375" style="64" customWidth="1"/>
    <col min="20" max="26" width="9.140625" style="64" customWidth="1"/>
    <col min="27" max="27" width="9.140625" style="57" customWidth="1"/>
    <col min="28" max="16384" width="9.140625" style="57"/>
  </cols>
  <sheetData>
    <row r="1" spans="1:12" s="66" customFormat="1" x14ac:dyDescent="0.25">
      <c r="A1" s="65" t="s">
        <v>203</v>
      </c>
      <c r="B1" s="66" t="s">
        <v>204</v>
      </c>
      <c r="C1" s="66" t="s">
        <v>220</v>
      </c>
      <c r="D1" s="66" t="s">
        <v>221</v>
      </c>
      <c r="E1" s="66" t="s">
        <v>222</v>
      </c>
      <c r="F1" s="66" t="s">
        <v>223</v>
      </c>
      <c r="G1" s="66" t="s">
        <v>224</v>
      </c>
      <c r="H1" s="66" t="s">
        <v>225</v>
      </c>
      <c r="I1" s="66" t="s">
        <v>226</v>
      </c>
      <c r="J1" s="66" t="s">
        <v>227</v>
      </c>
      <c r="K1" s="66" t="s">
        <v>228</v>
      </c>
      <c r="L1" s="66" t="s">
        <v>229</v>
      </c>
    </row>
    <row r="2" spans="1:12" x14ac:dyDescent="0.25">
      <c r="A2" s="59" t="s">
        <v>212</v>
      </c>
    </row>
    <row r="3" spans="1:12" x14ac:dyDescent="0.25">
      <c r="A3" s="59" t="s">
        <v>230</v>
      </c>
      <c r="B3" s="64">
        <v>15575</v>
      </c>
      <c r="H3" s="64">
        <v>18062.224988665759</v>
      </c>
    </row>
    <row r="4" spans="1:12" x14ac:dyDescent="0.25">
      <c r="A4" s="59" t="s">
        <v>231</v>
      </c>
      <c r="B4" s="64">
        <v>3300</v>
      </c>
      <c r="H4" s="64">
        <v>3826.9882801025369</v>
      </c>
    </row>
    <row r="5" spans="1:12" x14ac:dyDescent="0.25">
      <c r="A5" s="59" t="s">
        <v>232</v>
      </c>
      <c r="B5" s="64">
        <v>640</v>
      </c>
      <c r="H5" s="64">
        <v>742.20378765624969</v>
      </c>
    </row>
    <row r="6" spans="1:12" x14ac:dyDescent="0.25">
      <c r="A6" s="59" t="s">
        <v>233</v>
      </c>
      <c r="B6" s="64">
        <v>1629</v>
      </c>
      <c r="F6" s="64">
        <v>1798.1111988281241</v>
      </c>
      <c r="J6" s="64">
        <v>1984.778320043655</v>
      </c>
    </row>
    <row r="7" spans="1:12" x14ac:dyDescent="0.25">
      <c r="A7" s="59" t="s">
        <v>234</v>
      </c>
      <c r="B7" s="64">
        <v>2665</v>
      </c>
      <c r="H7" s="64">
        <v>3090.5829595373521</v>
      </c>
    </row>
    <row r="8" spans="1:12" x14ac:dyDescent="0.25">
      <c r="A8" s="59" t="s">
        <v>235</v>
      </c>
      <c r="B8" s="64">
        <v>1870</v>
      </c>
      <c r="E8" s="64">
        <v>2013.7854687499989</v>
      </c>
      <c r="H8" s="64">
        <v>2168.6266920581038</v>
      </c>
      <c r="K8" s="64">
        <v>2335.3737538021342</v>
      </c>
    </row>
    <row r="9" spans="1:12" x14ac:dyDescent="0.25">
      <c r="A9" s="59" t="s">
        <v>236</v>
      </c>
      <c r="B9" s="64">
        <v>1380</v>
      </c>
      <c r="H9" s="64">
        <v>1600.3769171337881</v>
      </c>
    </row>
    <row r="10" spans="1:12" x14ac:dyDescent="0.25">
      <c r="A10" s="59" t="s">
        <v>237</v>
      </c>
      <c r="B10" s="64">
        <v>1170</v>
      </c>
      <c r="H10" s="64">
        <v>1356.841299309081</v>
      </c>
    </row>
    <row r="11" spans="1:12" x14ac:dyDescent="0.25">
      <c r="A11" s="59" t="s">
        <v>238</v>
      </c>
      <c r="B11" s="64">
        <v>4290</v>
      </c>
      <c r="C11" s="64">
        <v>4397.25</v>
      </c>
      <c r="F11" s="64">
        <v>4735.3573007812493</v>
      </c>
      <c r="I11" s="64">
        <v>5099.4618832366295</v>
      </c>
      <c r="L11" s="64">
        <v>5491.5626946023713</v>
      </c>
    </row>
    <row r="12" spans="1:12" x14ac:dyDescent="0.25">
      <c r="A12" s="59" t="s">
        <v>239</v>
      </c>
      <c r="B12" s="64">
        <v>3630</v>
      </c>
      <c r="C12" s="64">
        <v>3720.75</v>
      </c>
      <c r="F12" s="64">
        <v>4006.8407929687478</v>
      </c>
      <c r="I12" s="64">
        <v>4314.9292858156095</v>
      </c>
      <c r="L12" s="64">
        <v>4646.7068954327742</v>
      </c>
    </row>
    <row r="13" spans="1:12" x14ac:dyDescent="0.25">
      <c r="A13" s="59" t="s">
        <v>146</v>
      </c>
      <c r="B13" s="64">
        <v>36149</v>
      </c>
      <c r="C13" s="64">
        <v>8118</v>
      </c>
      <c r="D13" s="64">
        <v>0</v>
      </c>
      <c r="E13" s="64">
        <v>2013.7854687499989</v>
      </c>
      <c r="F13" s="64">
        <v>10540.30929257812</v>
      </c>
      <c r="G13" s="64">
        <v>0</v>
      </c>
      <c r="H13" s="64">
        <v>30847.844924462879</v>
      </c>
      <c r="I13" s="64">
        <v>9414.39116905224</v>
      </c>
      <c r="J13" s="64">
        <v>1984.778320043655</v>
      </c>
      <c r="K13" s="64">
        <v>2335.3737538021342</v>
      </c>
      <c r="L13" s="64">
        <v>10138.26959003515</v>
      </c>
    </row>
    <row r="14" spans="1:12" x14ac:dyDescent="0.25">
      <c r="A14" s="59" t="s">
        <v>213</v>
      </c>
    </row>
    <row r="15" spans="1:12" x14ac:dyDescent="0.25">
      <c r="A15" s="59" t="s">
        <v>240</v>
      </c>
      <c r="B15" s="64">
        <v>8505</v>
      </c>
      <c r="F15" s="64">
        <v>9387.9286347656216</v>
      </c>
      <c r="J15" s="64">
        <v>10362.516643321849</v>
      </c>
    </row>
    <row r="16" spans="1:12" x14ac:dyDescent="0.25">
      <c r="A16" s="59" t="s">
        <v>241</v>
      </c>
      <c r="B16" s="64">
        <v>2500</v>
      </c>
      <c r="D16" s="64">
        <v>2626.5625</v>
      </c>
      <c r="G16" s="64">
        <v>2828.520532226561</v>
      </c>
      <c r="J16" s="64">
        <v>3046.0072437747931</v>
      </c>
    </row>
    <row r="17" spans="1:12" x14ac:dyDescent="0.25">
      <c r="A17" s="59" t="s">
        <v>146</v>
      </c>
      <c r="B17" s="64">
        <v>25305</v>
      </c>
      <c r="C17" s="64">
        <v>0</v>
      </c>
      <c r="D17" s="64">
        <v>2626.5625</v>
      </c>
      <c r="E17" s="64">
        <v>0</v>
      </c>
      <c r="F17" s="64">
        <v>9387.9286347656216</v>
      </c>
      <c r="G17" s="64">
        <v>2828.520532226561</v>
      </c>
      <c r="H17" s="64">
        <v>0</v>
      </c>
      <c r="I17" s="64">
        <v>0</v>
      </c>
      <c r="J17" s="64">
        <v>13408.52388709664</v>
      </c>
      <c r="K17" s="64">
        <v>0</v>
      </c>
      <c r="L17" s="64">
        <v>0</v>
      </c>
    </row>
    <row r="18" spans="1:12" x14ac:dyDescent="0.25">
      <c r="A18" s="59" t="s">
        <v>214</v>
      </c>
    </row>
    <row r="19" spans="1:12" x14ac:dyDescent="0.25">
      <c r="A19" s="59" t="s">
        <v>242</v>
      </c>
      <c r="B19" s="64">
        <v>1520</v>
      </c>
      <c r="H19" s="64">
        <v>1762.7339956835931</v>
      </c>
    </row>
    <row r="20" spans="1:12" x14ac:dyDescent="0.25">
      <c r="A20" s="59" t="s">
        <v>243</v>
      </c>
      <c r="B20" s="64">
        <v>3488</v>
      </c>
      <c r="H20" s="64">
        <v>4045.01064272656</v>
      </c>
    </row>
    <row r="21" spans="1:12" x14ac:dyDescent="0.25">
      <c r="A21" s="59" t="s">
        <v>244</v>
      </c>
      <c r="B21" s="64">
        <v>1100</v>
      </c>
      <c r="H21" s="64">
        <v>1275.662760034179</v>
      </c>
    </row>
    <row r="22" spans="1:12" x14ac:dyDescent="0.25">
      <c r="A22" s="59" t="s">
        <v>245</v>
      </c>
      <c r="B22" s="64">
        <v>400</v>
      </c>
      <c r="C22" s="64">
        <v>409.99999999999989</v>
      </c>
      <c r="F22" s="64">
        <v>441.52515624999978</v>
      </c>
      <c r="I22" s="64">
        <v>475.47430146728482</v>
      </c>
      <c r="L22" s="64">
        <v>512.03381767854262</v>
      </c>
    </row>
    <row r="23" spans="1:12" x14ac:dyDescent="0.25">
      <c r="A23" s="59" t="s">
        <v>146</v>
      </c>
      <c r="B23" s="64">
        <v>11558</v>
      </c>
      <c r="C23" s="64">
        <v>409.99999999999989</v>
      </c>
      <c r="D23" s="64">
        <v>0</v>
      </c>
      <c r="E23" s="64">
        <v>0</v>
      </c>
      <c r="F23" s="64">
        <v>441.52515624999978</v>
      </c>
      <c r="G23" s="64">
        <v>0</v>
      </c>
      <c r="H23" s="64">
        <v>7083.4073984443321</v>
      </c>
      <c r="I23" s="64">
        <v>475.47430146728482</v>
      </c>
      <c r="J23" s="64">
        <v>0</v>
      </c>
      <c r="K23" s="64">
        <v>0</v>
      </c>
      <c r="L23" s="64">
        <v>512.03381767854262</v>
      </c>
    </row>
    <row r="24" spans="1:12" x14ac:dyDescent="0.25">
      <c r="A24" s="59" t="s">
        <v>215</v>
      </c>
    </row>
    <row r="25" spans="1:12" x14ac:dyDescent="0.25">
      <c r="A25" s="59" t="s">
        <v>246</v>
      </c>
      <c r="B25" s="64">
        <v>6480</v>
      </c>
      <c r="F25" s="64">
        <v>7152.7075312499956</v>
      </c>
    </row>
    <row r="26" spans="1:12" x14ac:dyDescent="0.25">
      <c r="A26" s="59" t="s">
        <v>247</v>
      </c>
      <c r="B26" s="64">
        <v>4542</v>
      </c>
      <c r="H26" s="64">
        <v>5267.327505522946</v>
      </c>
    </row>
    <row r="27" spans="1:12" x14ac:dyDescent="0.25">
      <c r="A27" s="59" t="s">
        <v>248</v>
      </c>
      <c r="B27" s="64">
        <v>440</v>
      </c>
      <c r="H27" s="64">
        <v>510.26510401367159</v>
      </c>
    </row>
    <row r="28" spans="1:12" x14ac:dyDescent="0.25">
      <c r="A28" s="59" t="s">
        <v>249</v>
      </c>
      <c r="B28" s="64">
        <v>4625</v>
      </c>
      <c r="G28" s="64">
        <v>5232.7629846191394</v>
      </c>
    </row>
    <row r="29" spans="1:12" x14ac:dyDescent="0.25">
      <c r="A29" s="59" t="s">
        <v>250</v>
      </c>
      <c r="B29" s="64">
        <v>3252</v>
      </c>
      <c r="E29" s="64">
        <v>3502.0483124999992</v>
      </c>
      <c r="H29" s="64">
        <v>3771.3229960283188</v>
      </c>
      <c r="K29" s="64">
        <v>4061.3023782698069</v>
      </c>
    </row>
    <row r="30" spans="1:12" x14ac:dyDescent="0.25">
      <c r="A30" s="59" t="s">
        <v>146</v>
      </c>
      <c r="B30" s="64">
        <v>19339</v>
      </c>
      <c r="C30" s="64">
        <v>0</v>
      </c>
      <c r="D30" s="64">
        <v>0</v>
      </c>
      <c r="E30" s="64">
        <v>3502.0483124999992</v>
      </c>
      <c r="F30" s="64">
        <v>7152.7075312499956</v>
      </c>
      <c r="G30" s="64">
        <v>5232.7629846191394</v>
      </c>
      <c r="H30" s="64">
        <v>9548.9156055649364</v>
      </c>
      <c r="I30" s="64">
        <v>0</v>
      </c>
      <c r="J30" s="64">
        <v>0</v>
      </c>
      <c r="K30" s="64">
        <v>4061.3023782698069</v>
      </c>
      <c r="L30" s="64">
        <v>0</v>
      </c>
    </row>
    <row r="31" spans="1:12" x14ac:dyDescent="0.25">
      <c r="A31" s="59" t="s">
        <v>216</v>
      </c>
    </row>
    <row r="32" spans="1:12" x14ac:dyDescent="0.25">
      <c r="A32" s="59" t="s">
        <v>251</v>
      </c>
      <c r="B32" s="64">
        <v>1370</v>
      </c>
      <c r="I32" s="64">
        <v>1628.499482525451</v>
      </c>
    </row>
    <row r="33" spans="1:12" x14ac:dyDescent="0.25">
      <c r="A33" s="59" t="s">
        <v>252</v>
      </c>
      <c r="B33" s="64">
        <v>425</v>
      </c>
      <c r="K33" s="64">
        <v>530.76676222775768</v>
      </c>
    </row>
    <row r="34" spans="1:12" x14ac:dyDescent="0.25">
      <c r="A34" s="59" t="s">
        <v>253</v>
      </c>
      <c r="B34" s="64">
        <v>3252</v>
      </c>
      <c r="C34" s="64">
        <v>3333.3</v>
      </c>
      <c r="F34" s="64">
        <v>3589.599520312499</v>
      </c>
      <c r="I34" s="64">
        <v>3865.6060709290259</v>
      </c>
      <c r="L34" s="64">
        <v>4162.8349377265522</v>
      </c>
    </row>
    <row r="35" spans="1:12" x14ac:dyDescent="0.25">
      <c r="A35" s="59" t="s">
        <v>254</v>
      </c>
      <c r="B35" s="64">
        <v>1250</v>
      </c>
      <c r="C35" s="64">
        <v>1281.25</v>
      </c>
      <c r="G35" s="64">
        <v>1414.260266113281</v>
      </c>
      <c r="K35" s="64">
        <v>1561.0787124345809</v>
      </c>
    </row>
    <row r="36" spans="1:12" x14ac:dyDescent="0.25">
      <c r="A36" s="59" t="s">
        <v>146</v>
      </c>
      <c r="B36" s="64">
        <v>6297</v>
      </c>
      <c r="C36" s="64">
        <v>4614.5499999999993</v>
      </c>
      <c r="D36" s="64">
        <v>0</v>
      </c>
      <c r="E36" s="64">
        <v>0</v>
      </c>
      <c r="F36" s="64">
        <v>3589.599520312499</v>
      </c>
      <c r="G36" s="64">
        <v>1414.260266113281</v>
      </c>
      <c r="H36" s="64">
        <v>0</v>
      </c>
      <c r="I36" s="64">
        <v>5494.1055534544766</v>
      </c>
      <c r="J36" s="64">
        <v>0</v>
      </c>
      <c r="K36" s="64">
        <v>2091.8454746623388</v>
      </c>
      <c r="L36" s="64">
        <v>4162.8349377265522</v>
      </c>
    </row>
    <row r="37" spans="1:12" x14ac:dyDescent="0.25">
      <c r="A37" s="59" t="s">
        <v>217</v>
      </c>
    </row>
    <row r="38" spans="1:12" x14ac:dyDescent="0.25">
      <c r="A38" s="59" t="s">
        <v>251</v>
      </c>
      <c r="B38" s="64">
        <v>1370</v>
      </c>
      <c r="I38" s="64">
        <v>1628.499482525451</v>
      </c>
    </row>
    <row r="39" spans="1:12" x14ac:dyDescent="0.25">
      <c r="A39" s="59" t="s">
        <v>252</v>
      </c>
      <c r="B39" s="64">
        <v>425</v>
      </c>
      <c r="K39" s="64">
        <v>530.76676222775768</v>
      </c>
    </row>
    <row r="40" spans="1:12" x14ac:dyDescent="0.25">
      <c r="A40" s="59" t="s">
        <v>253</v>
      </c>
      <c r="B40" s="64">
        <v>3252</v>
      </c>
      <c r="C40" s="64">
        <v>3333.3</v>
      </c>
      <c r="F40" s="64">
        <v>3589.599520312499</v>
      </c>
      <c r="I40" s="64">
        <v>3865.6060709290259</v>
      </c>
      <c r="L40" s="64">
        <v>4162.8349377265522</v>
      </c>
    </row>
    <row r="41" spans="1:12" x14ac:dyDescent="0.25">
      <c r="A41" s="59" t="s">
        <v>254</v>
      </c>
      <c r="B41" s="64">
        <v>1250</v>
      </c>
      <c r="C41" s="64">
        <v>1281.25</v>
      </c>
      <c r="G41" s="64">
        <v>1414.260266113281</v>
      </c>
      <c r="K41" s="64">
        <v>1561.0787124345809</v>
      </c>
    </row>
    <row r="42" spans="1:12" x14ac:dyDescent="0.25">
      <c r="A42" s="59" t="s">
        <v>146</v>
      </c>
      <c r="B42" s="64">
        <v>6297</v>
      </c>
      <c r="C42" s="64">
        <v>4614.5499999999993</v>
      </c>
      <c r="D42" s="64">
        <v>0</v>
      </c>
      <c r="E42" s="64">
        <v>0</v>
      </c>
      <c r="F42" s="64">
        <v>3589.599520312499</v>
      </c>
      <c r="G42" s="64">
        <v>1414.260266113281</v>
      </c>
      <c r="H42" s="64">
        <v>0</v>
      </c>
      <c r="I42" s="64">
        <v>5494.1055534544766</v>
      </c>
      <c r="J42" s="64">
        <v>0</v>
      </c>
      <c r="K42" s="64">
        <v>2091.8454746623388</v>
      </c>
      <c r="L42" s="64">
        <v>4162.8349377265522</v>
      </c>
    </row>
    <row r="44" spans="1:12" x14ac:dyDescent="0.25">
      <c r="A44" s="59" t="s">
        <v>205</v>
      </c>
      <c r="B44" s="64">
        <v>209890</v>
      </c>
      <c r="C44" s="64">
        <v>17757.099999999999</v>
      </c>
      <c r="D44" s="64">
        <v>2626.5625</v>
      </c>
      <c r="E44" s="64">
        <v>5515.8337812499994</v>
      </c>
      <c r="F44" s="64">
        <v>34701.669655468737</v>
      </c>
      <c r="G44" s="64">
        <v>10889.80404907226</v>
      </c>
      <c r="H44" s="64">
        <v>47480.167928472147</v>
      </c>
      <c r="I44" s="64">
        <v>20878.076577428481</v>
      </c>
      <c r="J44" s="64">
        <v>15393.30220714029</v>
      </c>
      <c r="K44" s="64">
        <v>10580.36708139662</v>
      </c>
      <c r="L44" s="64">
        <v>18975.97328316679</v>
      </c>
    </row>
  </sheetData>
  <pageMargins left="0.7" right="0.7" top="0.75" bottom="0.75" header="0.3" footer="0.3"/>
  <pageSetup paperSize="9" fitToHeight="0" orientation="landscape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>
    <tabColor rgb="FFFFC000"/>
  </sheetPr>
  <dimension ref="A1:Z44"/>
  <sheetViews>
    <sheetView zoomScale="90" zoomScaleNormal="90" workbookViewId="0">
      <selection sqref="A1:L44"/>
    </sheetView>
  </sheetViews>
  <sheetFormatPr defaultColWidth="9.140625" defaultRowHeight="15" customHeight="1" x14ac:dyDescent="0.2"/>
  <cols>
    <col min="1" max="1" width="50.85546875" style="58" bestFit="1" customWidth="1"/>
    <col min="2" max="2" width="12" style="63" customWidth="1"/>
    <col min="3" max="5" width="5.7109375" style="63" bestFit="1" customWidth="1"/>
    <col min="6" max="6" width="6.42578125" style="63" bestFit="1" customWidth="1"/>
    <col min="7" max="7" width="5.7109375" style="63" bestFit="1" customWidth="1"/>
    <col min="8" max="9" width="6.42578125" style="63" bestFit="1" customWidth="1"/>
    <col min="10" max="12" width="5.7109375" style="63" bestFit="1" customWidth="1"/>
    <col min="13" max="19" width="5.7109375" style="63" customWidth="1"/>
    <col min="20" max="26" width="9.140625" style="63" customWidth="1"/>
    <col min="27" max="27" width="9.140625" style="58" customWidth="1"/>
    <col min="28" max="16384" width="9.140625" style="58"/>
  </cols>
  <sheetData>
    <row r="1" spans="1:12" s="67" customFormat="1" ht="15" customHeight="1" x14ac:dyDescent="0.2">
      <c r="A1" s="67" t="s">
        <v>203</v>
      </c>
      <c r="B1" s="67" t="s">
        <v>204</v>
      </c>
      <c r="C1" s="67" t="s">
        <v>220</v>
      </c>
      <c r="D1" s="67" t="s">
        <v>221</v>
      </c>
      <c r="E1" s="67" t="s">
        <v>222</v>
      </c>
      <c r="F1" s="67" t="s">
        <v>223</v>
      </c>
      <c r="G1" s="67" t="s">
        <v>224</v>
      </c>
      <c r="H1" s="67" t="s">
        <v>225</v>
      </c>
      <c r="I1" s="67" t="s">
        <v>226</v>
      </c>
      <c r="J1" s="67" t="s">
        <v>227</v>
      </c>
      <c r="K1" s="67" t="s">
        <v>228</v>
      </c>
      <c r="L1" s="67" t="s">
        <v>229</v>
      </c>
    </row>
    <row r="2" spans="1:12" ht="15" customHeight="1" x14ac:dyDescent="0.2">
      <c r="A2" s="58" t="s">
        <v>212</v>
      </c>
    </row>
    <row r="3" spans="1:12" ht="15" customHeight="1" x14ac:dyDescent="0.2">
      <c r="A3" s="58" t="s">
        <v>230</v>
      </c>
      <c r="B3" s="63">
        <v>3893.75</v>
      </c>
      <c r="C3" s="63">
        <v>0</v>
      </c>
      <c r="D3" s="63">
        <v>0</v>
      </c>
      <c r="E3" s="63">
        <v>0</v>
      </c>
      <c r="F3" s="63">
        <v>0</v>
      </c>
      <c r="G3" s="63">
        <v>0</v>
      </c>
      <c r="H3" s="63">
        <v>4515.5562471664407</v>
      </c>
      <c r="I3" s="63">
        <v>0</v>
      </c>
      <c r="J3" s="63">
        <v>0</v>
      </c>
      <c r="K3" s="63">
        <v>0</v>
      </c>
      <c r="L3" s="63">
        <v>0</v>
      </c>
    </row>
    <row r="4" spans="1:12" ht="15" customHeight="1" x14ac:dyDescent="0.2">
      <c r="A4" s="58" t="s">
        <v>231</v>
      </c>
      <c r="B4" s="63">
        <v>825</v>
      </c>
      <c r="C4" s="63">
        <v>0</v>
      </c>
      <c r="D4" s="63">
        <v>0</v>
      </c>
      <c r="E4" s="63">
        <v>0</v>
      </c>
      <c r="F4" s="63">
        <v>0</v>
      </c>
      <c r="G4" s="63">
        <v>0</v>
      </c>
      <c r="H4" s="63">
        <v>956.74707002563423</v>
      </c>
      <c r="I4" s="63">
        <v>0</v>
      </c>
      <c r="J4" s="63">
        <v>0</v>
      </c>
      <c r="K4" s="63">
        <v>0</v>
      </c>
      <c r="L4" s="63">
        <v>0</v>
      </c>
    </row>
    <row r="5" spans="1:12" ht="15" customHeight="1" x14ac:dyDescent="0.2">
      <c r="A5" s="58" t="s">
        <v>232</v>
      </c>
      <c r="B5" s="63">
        <v>160</v>
      </c>
      <c r="C5" s="63">
        <v>0</v>
      </c>
      <c r="D5" s="63">
        <v>0</v>
      </c>
      <c r="E5" s="63">
        <v>0</v>
      </c>
      <c r="F5" s="63">
        <v>0</v>
      </c>
      <c r="G5" s="63">
        <v>0</v>
      </c>
      <c r="H5" s="63">
        <v>185.55094691406239</v>
      </c>
      <c r="I5" s="63">
        <v>0</v>
      </c>
      <c r="J5" s="63">
        <v>0</v>
      </c>
      <c r="K5" s="63">
        <v>0</v>
      </c>
      <c r="L5" s="63">
        <v>0</v>
      </c>
    </row>
    <row r="6" spans="1:12" ht="15" customHeight="1" x14ac:dyDescent="0.2">
      <c r="A6" s="58" t="s">
        <v>233</v>
      </c>
      <c r="B6" s="63">
        <v>407.25000000000011</v>
      </c>
      <c r="C6" s="63">
        <v>0</v>
      </c>
      <c r="D6" s="63">
        <v>0</v>
      </c>
      <c r="E6" s="63">
        <v>0</v>
      </c>
      <c r="F6" s="63">
        <v>449.52779970703108</v>
      </c>
      <c r="G6" s="63">
        <v>0</v>
      </c>
      <c r="H6" s="63">
        <v>0</v>
      </c>
      <c r="I6" s="63">
        <v>0</v>
      </c>
      <c r="J6" s="63">
        <v>496.1945800109138</v>
      </c>
      <c r="K6" s="63">
        <v>0</v>
      </c>
      <c r="L6" s="63">
        <v>0</v>
      </c>
    </row>
    <row r="7" spans="1:12" ht="15" customHeight="1" x14ac:dyDescent="0.2">
      <c r="A7" s="58" t="s">
        <v>234</v>
      </c>
      <c r="B7" s="63">
        <v>666.25</v>
      </c>
      <c r="C7" s="63">
        <v>0</v>
      </c>
      <c r="D7" s="63">
        <v>0</v>
      </c>
      <c r="E7" s="63">
        <v>0</v>
      </c>
      <c r="F7" s="63">
        <v>0</v>
      </c>
      <c r="G7" s="63">
        <v>0</v>
      </c>
      <c r="H7" s="63">
        <v>772.6457398843379</v>
      </c>
      <c r="I7" s="63">
        <v>0</v>
      </c>
      <c r="J7" s="63">
        <v>0</v>
      </c>
      <c r="K7" s="63">
        <v>0</v>
      </c>
      <c r="L7" s="63">
        <v>0</v>
      </c>
    </row>
    <row r="8" spans="1:12" ht="15" customHeight="1" x14ac:dyDescent="0.2">
      <c r="A8" s="58" t="s">
        <v>235</v>
      </c>
      <c r="B8" s="63">
        <v>467.5</v>
      </c>
      <c r="C8" s="63">
        <v>0</v>
      </c>
      <c r="D8" s="63">
        <v>0</v>
      </c>
      <c r="E8" s="63">
        <v>503.44636718749979</v>
      </c>
      <c r="F8" s="63">
        <v>0</v>
      </c>
      <c r="G8" s="63">
        <v>0</v>
      </c>
      <c r="H8" s="63">
        <v>542.15667301452606</v>
      </c>
      <c r="I8" s="63">
        <v>0</v>
      </c>
      <c r="J8" s="63">
        <v>0</v>
      </c>
      <c r="K8" s="63">
        <v>583.84343845053343</v>
      </c>
      <c r="L8" s="63">
        <v>0</v>
      </c>
    </row>
    <row r="9" spans="1:12" ht="15" customHeight="1" x14ac:dyDescent="0.2">
      <c r="A9" s="58" t="s">
        <v>236</v>
      </c>
      <c r="B9" s="63">
        <v>345</v>
      </c>
      <c r="C9" s="63">
        <v>0</v>
      </c>
      <c r="D9" s="63">
        <v>0</v>
      </c>
      <c r="E9" s="63">
        <v>0</v>
      </c>
      <c r="F9" s="63">
        <v>0</v>
      </c>
      <c r="G9" s="63">
        <v>0</v>
      </c>
      <c r="H9" s="63">
        <v>400.09422928344702</v>
      </c>
      <c r="I9" s="63">
        <v>0</v>
      </c>
      <c r="J9" s="63">
        <v>0</v>
      </c>
      <c r="K9" s="63">
        <v>0</v>
      </c>
      <c r="L9" s="63">
        <v>0</v>
      </c>
    </row>
    <row r="10" spans="1:12" ht="15" customHeight="1" x14ac:dyDescent="0.2">
      <c r="A10" s="58" t="s">
        <v>237</v>
      </c>
      <c r="B10" s="63">
        <v>292.5</v>
      </c>
      <c r="C10" s="63">
        <v>0</v>
      </c>
      <c r="D10" s="63">
        <v>0</v>
      </c>
      <c r="E10" s="63">
        <v>0</v>
      </c>
      <c r="F10" s="63">
        <v>0</v>
      </c>
      <c r="G10" s="63">
        <v>0</v>
      </c>
      <c r="H10" s="63">
        <v>339.21032482727043</v>
      </c>
      <c r="I10" s="63">
        <v>0</v>
      </c>
      <c r="J10" s="63">
        <v>0</v>
      </c>
      <c r="K10" s="63">
        <v>0</v>
      </c>
      <c r="L10" s="63">
        <v>0</v>
      </c>
    </row>
    <row r="11" spans="1:12" ht="15" customHeight="1" x14ac:dyDescent="0.2">
      <c r="A11" s="58" t="s">
        <v>238</v>
      </c>
      <c r="B11" s="63">
        <v>1072.5</v>
      </c>
      <c r="C11" s="63">
        <v>1099.3125</v>
      </c>
      <c r="D11" s="63">
        <v>0</v>
      </c>
      <c r="E11" s="63">
        <v>0</v>
      </c>
      <c r="F11" s="63">
        <v>1183.8393251953121</v>
      </c>
      <c r="G11" s="63">
        <v>0</v>
      </c>
      <c r="H11" s="63">
        <v>0</v>
      </c>
      <c r="I11" s="63">
        <v>1274.8654708091581</v>
      </c>
      <c r="J11" s="63">
        <v>0</v>
      </c>
      <c r="K11" s="63">
        <v>0</v>
      </c>
      <c r="L11" s="63">
        <v>1372.890673650593</v>
      </c>
    </row>
    <row r="12" spans="1:12" ht="15" customHeight="1" x14ac:dyDescent="0.2">
      <c r="A12" s="58" t="s">
        <v>239</v>
      </c>
      <c r="B12" s="63">
        <v>907.5</v>
      </c>
      <c r="C12" s="63">
        <v>930.18749999999989</v>
      </c>
      <c r="D12" s="63">
        <v>0</v>
      </c>
      <c r="E12" s="63">
        <v>0</v>
      </c>
      <c r="F12" s="63">
        <v>1001.7101982421869</v>
      </c>
      <c r="G12" s="63">
        <v>0</v>
      </c>
      <c r="H12" s="63">
        <v>0</v>
      </c>
      <c r="I12" s="63">
        <v>1078.7323214539019</v>
      </c>
      <c r="J12" s="63">
        <v>0</v>
      </c>
      <c r="K12" s="63">
        <v>0</v>
      </c>
      <c r="L12" s="63">
        <v>1161.676723858194</v>
      </c>
    </row>
    <row r="13" spans="1:12" ht="15" customHeight="1" x14ac:dyDescent="0.2">
      <c r="A13" s="58" t="s">
        <v>146</v>
      </c>
      <c r="B13" s="63">
        <v>9037.25</v>
      </c>
      <c r="C13" s="63">
        <v>2029.5</v>
      </c>
      <c r="D13" s="63">
        <v>0</v>
      </c>
      <c r="E13" s="63">
        <v>503.44636718749979</v>
      </c>
      <c r="F13" s="63">
        <v>2635.077323144531</v>
      </c>
      <c r="G13" s="63">
        <v>0</v>
      </c>
      <c r="H13" s="63">
        <v>7711.9612311157189</v>
      </c>
      <c r="I13" s="63">
        <v>2353.59779226306</v>
      </c>
      <c r="J13" s="63">
        <v>496.1945800109138</v>
      </c>
      <c r="K13" s="63">
        <v>583.84343845053343</v>
      </c>
      <c r="L13" s="63">
        <v>2534.5673975087871</v>
      </c>
    </row>
    <row r="14" spans="1:12" ht="15" customHeight="1" x14ac:dyDescent="0.2">
      <c r="A14" s="58" t="s">
        <v>213</v>
      </c>
    </row>
    <row r="15" spans="1:12" ht="15" customHeight="1" x14ac:dyDescent="0.2">
      <c r="A15" s="58" t="s">
        <v>240</v>
      </c>
      <c r="B15" s="63">
        <v>4252.5</v>
      </c>
      <c r="C15" s="63">
        <v>0</v>
      </c>
      <c r="D15" s="63">
        <v>0</v>
      </c>
      <c r="E15" s="63">
        <v>0</v>
      </c>
      <c r="F15" s="63">
        <v>4693.9643173828108</v>
      </c>
      <c r="G15" s="63">
        <v>0</v>
      </c>
      <c r="H15" s="63">
        <v>0</v>
      </c>
      <c r="I15" s="63">
        <v>0</v>
      </c>
      <c r="J15" s="63">
        <v>5181.2583216609228</v>
      </c>
      <c r="K15" s="63">
        <v>0</v>
      </c>
      <c r="L15" s="63">
        <v>0</v>
      </c>
    </row>
    <row r="16" spans="1:12" ht="15" customHeight="1" x14ac:dyDescent="0.2">
      <c r="A16" s="58" t="s">
        <v>241</v>
      </c>
      <c r="B16" s="63">
        <v>1250</v>
      </c>
      <c r="C16" s="63">
        <v>0</v>
      </c>
      <c r="D16" s="63">
        <v>1313.28125</v>
      </c>
      <c r="E16" s="63">
        <v>0</v>
      </c>
      <c r="F16" s="63">
        <v>0</v>
      </c>
      <c r="G16" s="63">
        <v>1414.260266113281</v>
      </c>
      <c r="H16" s="63">
        <v>0</v>
      </c>
      <c r="I16" s="63">
        <v>0</v>
      </c>
      <c r="J16" s="63">
        <v>1523.003621887397</v>
      </c>
      <c r="K16" s="63">
        <v>0</v>
      </c>
      <c r="L16" s="63">
        <v>0</v>
      </c>
    </row>
    <row r="17" spans="1:12" ht="15" customHeight="1" x14ac:dyDescent="0.2">
      <c r="A17" s="58" t="s">
        <v>146</v>
      </c>
      <c r="B17" s="63">
        <v>12652.5</v>
      </c>
      <c r="C17" s="63">
        <v>0</v>
      </c>
      <c r="D17" s="63">
        <v>1313.28125</v>
      </c>
      <c r="E17" s="63">
        <v>0</v>
      </c>
      <c r="F17" s="63">
        <v>4693.9643173828108</v>
      </c>
      <c r="G17" s="63">
        <v>1414.260266113281</v>
      </c>
      <c r="H17" s="63">
        <v>0</v>
      </c>
      <c r="I17" s="63">
        <v>0</v>
      </c>
      <c r="J17" s="63">
        <v>6704.2619435483193</v>
      </c>
      <c r="K17" s="63">
        <v>0</v>
      </c>
      <c r="L17" s="63">
        <v>0</v>
      </c>
    </row>
    <row r="18" spans="1:12" ht="15" customHeight="1" x14ac:dyDescent="0.2">
      <c r="A18" s="58" t="s">
        <v>214</v>
      </c>
    </row>
    <row r="19" spans="1:12" ht="15" customHeight="1" x14ac:dyDescent="0.2">
      <c r="A19" s="58" t="s">
        <v>242</v>
      </c>
      <c r="B19" s="63">
        <v>760</v>
      </c>
      <c r="C19" s="63">
        <v>0</v>
      </c>
      <c r="D19" s="63">
        <v>0</v>
      </c>
      <c r="E19" s="63">
        <v>0</v>
      </c>
      <c r="F19" s="63">
        <v>0</v>
      </c>
      <c r="G19" s="63">
        <v>0</v>
      </c>
      <c r="H19" s="63">
        <v>881.36699784179643</v>
      </c>
      <c r="I19" s="63">
        <v>0</v>
      </c>
      <c r="J19" s="63">
        <v>0</v>
      </c>
      <c r="K19" s="63">
        <v>0</v>
      </c>
      <c r="L19" s="63">
        <v>0</v>
      </c>
    </row>
    <row r="20" spans="1:12" ht="15" customHeight="1" x14ac:dyDescent="0.2">
      <c r="A20" s="58" t="s">
        <v>243</v>
      </c>
      <c r="B20" s="63">
        <v>1744</v>
      </c>
      <c r="C20" s="63">
        <v>0</v>
      </c>
      <c r="D20" s="63">
        <v>0</v>
      </c>
      <c r="E20" s="63">
        <v>0</v>
      </c>
      <c r="F20" s="63">
        <v>0</v>
      </c>
      <c r="G20" s="63">
        <v>0</v>
      </c>
      <c r="H20" s="63">
        <v>2022.50532136328</v>
      </c>
      <c r="I20" s="63">
        <v>0</v>
      </c>
      <c r="J20" s="63">
        <v>0</v>
      </c>
      <c r="K20" s="63">
        <v>0</v>
      </c>
      <c r="L20" s="63">
        <v>0</v>
      </c>
    </row>
    <row r="21" spans="1:12" ht="15" customHeight="1" x14ac:dyDescent="0.2">
      <c r="A21" s="58" t="s">
        <v>244</v>
      </c>
      <c r="B21" s="63">
        <v>550</v>
      </c>
      <c r="C21" s="63">
        <v>0</v>
      </c>
      <c r="D21" s="63">
        <v>0</v>
      </c>
      <c r="E21" s="63">
        <v>0</v>
      </c>
      <c r="F21" s="63">
        <v>0</v>
      </c>
      <c r="G21" s="63">
        <v>0</v>
      </c>
      <c r="H21" s="63">
        <v>637.8313800170896</v>
      </c>
      <c r="I21" s="63">
        <v>0</v>
      </c>
      <c r="J21" s="63">
        <v>0</v>
      </c>
      <c r="K21" s="63">
        <v>0</v>
      </c>
      <c r="L21" s="63">
        <v>0</v>
      </c>
    </row>
    <row r="22" spans="1:12" ht="15" customHeight="1" x14ac:dyDescent="0.2">
      <c r="A22" s="58" t="s">
        <v>245</v>
      </c>
      <c r="B22" s="63">
        <v>200</v>
      </c>
      <c r="C22" s="63">
        <v>205</v>
      </c>
      <c r="D22" s="63">
        <v>0</v>
      </c>
      <c r="E22" s="63">
        <v>0</v>
      </c>
      <c r="F22" s="63">
        <v>220.76257812499989</v>
      </c>
      <c r="G22" s="63">
        <v>0</v>
      </c>
      <c r="H22" s="63">
        <v>0</v>
      </c>
      <c r="I22" s="63">
        <v>237.73715073364241</v>
      </c>
      <c r="J22" s="63">
        <v>0</v>
      </c>
      <c r="K22" s="63">
        <v>0</v>
      </c>
      <c r="L22" s="63">
        <v>256.01690883927131</v>
      </c>
    </row>
    <row r="23" spans="1:12" ht="15" customHeight="1" x14ac:dyDescent="0.2">
      <c r="A23" s="58" t="s">
        <v>146</v>
      </c>
      <c r="B23" s="63">
        <v>5779</v>
      </c>
      <c r="C23" s="63">
        <v>205</v>
      </c>
      <c r="D23" s="63">
        <v>0</v>
      </c>
      <c r="E23" s="63">
        <v>0</v>
      </c>
      <c r="F23" s="63">
        <v>220.76257812499989</v>
      </c>
      <c r="G23" s="63">
        <v>0</v>
      </c>
      <c r="H23" s="63">
        <v>3541.7036992221661</v>
      </c>
      <c r="I23" s="63">
        <v>237.73715073364241</v>
      </c>
      <c r="J23" s="63">
        <v>0</v>
      </c>
      <c r="K23" s="63">
        <v>0</v>
      </c>
      <c r="L23" s="63">
        <v>256.01690883927131</v>
      </c>
    </row>
    <row r="24" spans="1:12" ht="15" customHeight="1" x14ac:dyDescent="0.2">
      <c r="A24" s="58" t="s">
        <v>215</v>
      </c>
    </row>
    <row r="25" spans="1:12" ht="15" customHeight="1" x14ac:dyDescent="0.2">
      <c r="A25" s="58" t="s">
        <v>246</v>
      </c>
      <c r="B25" s="63">
        <v>3240</v>
      </c>
      <c r="C25" s="63">
        <v>0</v>
      </c>
      <c r="D25" s="63">
        <v>0</v>
      </c>
      <c r="E25" s="63">
        <v>0</v>
      </c>
      <c r="F25" s="63">
        <v>3576.3537656249978</v>
      </c>
      <c r="G25" s="63">
        <v>0</v>
      </c>
      <c r="H25" s="63">
        <v>0</v>
      </c>
      <c r="I25" s="63">
        <v>0</v>
      </c>
      <c r="J25" s="63">
        <v>0</v>
      </c>
      <c r="K25" s="63">
        <v>0</v>
      </c>
      <c r="L25" s="63">
        <v>0</v>
      </c>
    </row>
    <row r="26" spans="1:12" ht="15" customHeight="1" x14ac:dyDescent="0.2">
      <c r="A26" s="58" t="s">
        <v>247</v>
      </c>
      <c r="B26" s="63">
        <v>2271</v>
      </c>
      <c r="C26" s="63">
        <v>0</v>
      </c>
      <c r="D26" s="63">
        <v>0</v>
      </c>
      <c r="E26" s="63">
        <v>0</v>
      </c>
      <c r="F26" s="63">
        <v>0</v>
      </c>
      <c r="G26" s="63">
        <v>0</v>
      </c>
      <c r="H26" s="63">
        <v>2633.663752761473</v>
      </c>
      <c r="I26" s="63">
        <v>0</v>
      </c>
      <c r="J26" s="63">
        <v>0</v>
      </c>
      <c r="K26" s="63">
        <v>0</v>
      </c>
      <c r="L26" s="63">
        <v>0</v>
      </c>
    </row>
    <row r="27" spans="1:12" ht="15" customHeight="1" x14ac:dyDescent="0.2">
      <c r="A27" s="58" t="s">
        <v>248</v>
      </c>
      <c r="B27" s="63">
        <v>220</v>
      </c>
      <c r="C27" s="63">
        <v>0</v>
      </c>
      <c r="D27" s="63">
        <v>0</v>
      </c>
      <c r="E27" s="63">
        <v>0</v>
      </c>
      <c r="F27" s="63">
        <v>0</v>
      </c>
      <c r="G27" s="63">
        <v>0</v>
      </c>
      <c r="H27" s="63">
        <v>255.13255200683579</v>
      </c>
      <c r="I27" s="63">
        <v>0</v>
      </c>
      <c r="J27" s="63">
        <v>0</v>
      </c>
      <c r="K27" s="63">
        <v>0</v>
      </c>
      <c r="L27" s="63">
        <v>0</v>
      </c>
    </row>
    <row r="28" spans="1:12" ht="15" customHeight="1" x14ac:dyDescent="0.2">
      <c r="A28" s="58" t="s">
        <v>249</v>
      </c>
      <c r="B28" s="63">
        <v>2312.5</v>
      </c>
      <c r="C28" s="63">
        <v>0</v>
      </c>
      <c r="D28" s="63">
        <v>0</v>
      </c>
      <c r="E28" s="63">
        <v>0</v>
      </c>
      <c r="F28" s="63">
        <v>0</v>
      </c>
      <c r="G28" s="63">
        <v>2616.3814923095701</v>
      </c>
      <c r="H28" s="63">
        <v>0</v>
      </c>
      <c r="I28" s="63">
        <v>0</v>
      </c>
      <c r="J28" s="63">
        <v>0</v>
      </c>
      <c r="K28" s="63">
        <v>0</v>
      </c>
      <c r="L28" s="63">
        <v>0</v>
      </c>
    </row>
    <row r="29" spans="1:12" ht="15" customHeight="1" x14ac:dyDescent="0.2">
      <c r="A29" s="58" t="s">
        <v>250</v>
      </c>
      <c r="B29" s="63">
        <v>1626</v>
      </c>
      <c r="C29" s="63">
        <v>0</v>
      </c>
      <c r="D29" s="63">
        <v>0</v>
      </c>
      <c r="E29" s="63">
        <v>1751.02415625</v>
      </c>
      <c r="F29" s="63">
        <v>0</v>
      </c>
      <c r="G29" s="63">
        <v>0</v>
      </c>
      <c r="H29" s="63">
        <v>1885.661498014159</v>
      </c>
      <c r="I29" s="63">
        <v>0</v>
      </c>
      <c r="J29" s="63">
        <v>0</v>
      </c>
      <c r="K29" s="63">
        <v>2030.6511891349039</v>
      </c>
      <c r="L29" s="63">
        <v>0</v>
      </c>
    </row>
    <row r="30" spans="1:12" ht="15" customHeight="1" x14ac:dyDescent="0.2">
      <c r="A30" s="58" t="s">
        <v>146</v>
      </c>
      <c r="B30" s="63">
        <v>9669.5</v>
      </c>
      <c r="C30" s="63">
        <v>0</v>
      </c>
      <c r="D30" s="63">
        <v>0</v>
      </c>
      <c r="E30" s="63">
        <v>1751.02415625</v>
      </c>
      <c r="F30" s="63">
        <v>3576.3537656249978</v>
      </c>
      <c r="G30" s="63">
        <v>2616.3814923095701</v>
      </c>
      <c r="H30" s="63">
        <v>4774.4578027824682</v>
      </c>
      <c r="I30" s="63">
        <v>0</v>
      </c>
      <c r="J30" s="63">
        <v>0</v>
      </c>
      <c r="K30" s="63">
        <v>2030.6511891349039</v>
      </c>
      <c r="L30" s="63">
        <v>0</v>
      </c>
    </row>
    <row r="31" spans="1:12" ht="15" customHeight="1" x14ac:dyDescent="0.2">
      <c r="A31" s="58" t="s">
        <v>216</v>
      </c>
    </row>
    <row r="32" spans="1:12" ht="15" customHeight="1" x14ac:dyDescent="0.2">
      <c r="A32" s="58" t="s">
        <v>251</v>
      </c>
      <c r="B32" s="63">
        <v>685</v>
      </c>
      <c r="C32" s="63">
        <v>0</v>
      </c>
      <c r="D32" s="63">
        <v>0</v>
      </c>
      <c r="E32" s="63">
        <v>0</v>
      </c>
      <c r="F32" s="63">
        <v>0</v>
      </c>
      <c r="G32" s="63">
        <v>0</v>
      </c>
      <c r="H32" s="63">
        <v>0</v>
      </c>
      <c r="I32" s="63">
        <v>814.24974126272525</v>
      </c>
      <c r="J32" s="63">
        <v>0</v>
      </c>
      <c r="K32" s="63">
        <v>0</v>
      </c>
      <c r="L32" s="63">
        <v>0</v>
      </c>
    </row>
    <row r="33" spans="1:12" ht="15" customHeight="1" x14ac:dyDescent="0.2">
      <c r="A33" s="58" t="s">
        <v>252</v>
      </c>
      <c r="B33" s="63">
        <v>212.5</v>
      </c>
      <c r="C33" s="63">
        <v>0</v>
      </c>
      <c r="D33" s="63">
        <v>0</v>
      </c>
      <c r="E33" s="63">
        <v>0</v>
      </c>
      <c r="F33" s="63">
        <v>0</v>
      </c>
      <c r="G33" s="63">
        <v>0</v>
      </c>
      <c r="H33" s="63">
        <v>0</v>
      </c>
      <c r="I33" s="63">
        <v>0</v>
      </c>
      <c r="J33" s="63">
        <v>0</v>
      </c>
      <c r="K33" s="63">
        <v>265.38338111387878</v>
      </c>
      <c r="L33" s="63">
        <v>0</v>
      </c>
    </row>
    <row r="34" spans="1:12" ht="15" customHeight="1" x14ac:dyDescent="0.2">
      <c r="A34" s="58" t="s">
        <v>253</v>
      </c>
      <c r="B34" s="63">
        <v>1626</v>
      </c>
      <c r="C34" s="63">
        <v>1666.65</v>
      </c>
      <c r="D34" s="63">
        <v>0</v>
      </c>
      <c r="E34" s="63">
        <v>0</v>
      </c>
      <c r="F34" s="63">
        <v>1794.799760156249</v>
      </c>
      <c r="G34" s="63">
        <v>0</v>
      </c>
      <c r="H34" s="63">
        <v>0</v>
      </c>
      <c r="I34" s="63">
        <v>1932.803035464513</v>
      </c>
      <c r="J34" s="63">
        <v>0</v>
      </c>
      <c r="K34" s="63">
        <v>0</v>
      </c>
      <c r="L34" s="63">
        <v>2081.4174688632761</v>
      </c>
    </row>
    <row r="35" spans="1:12" ht="15" customHeight="1" x14ac:dyDescent="0.2">
      <c r="A35" s="58" t="s">
        <v>254</v>
      </c>
      <c r="B35" s="63">
        <v>625</v>
      </c>
      <c r="C35" s="63">
        <v>640.625</v>
      </c>
      <c r="D35" s="63">
        <v>0</v>
      </c>
      <c r="E35" s="63">
        <v>0</v>
      </c>
      <c r="F35" s="63">
        <v>0</v>
      </c>
      <c r="G35" s="63">
        <v>707.13013305664026</v>
      </c>
      <c r="H35" s="63">
        <v>0</v>
      </c>
      <c r="I35" s="63">
        <v>0</v>
      </c>
      <c r="J35" s="63">
        <v>0</v>
      </c>
      <c r="K35" s="63">
        <v>780.53935621729067</v>
      </c>
      <c r="L35" s="63">
        <v>0</v>
      </c>
    </row>
    <row r="36" spans="1:12" ht="15" customHeight="1" x14ac:dyDescent="0.2">
      <c r="A36" s="58" t="s">
        <v>146</v>
      </c>
      <c r="B36" s="63">
        <v>3148.5</v>
      </c>
      <c r="C36" s="63">
        <v>2307.2750000000001</v>
      </c>
      <c r="D36" s="63">
        <v>0</v>
      </c>
      <c r="E36" s="63">
        <v>0</v>
      </c>
      <c r="F36" s="63">
        <v>1794.799760156249</v>
      </c>
      <c r="G36" s="63">
        <v>707.13013305664026</v>
      </c>
      <c r="H36" s="63">
        <v>0</v>
      </c>
      <c r="I36" s="63">
        <v>2747.0527767272379</v>
      </c>
      <c r="J36" s="63">
        <v>0</v>
      </c>
      <c r="K36" s="63">
        <v>1045.9227373311701</v>
      </c>
      <c r="L36" s="63">
        <v>2081.4174688632761</v>
      </c>
    </row>
    <row r="37" spans="1:12" ht="15" customHeight="1" x14ac:dyDescent="0.2">
      <c r="A37" s="58" t="s">
        <v>217</v>
      </c>
    </row>
    <row r="38" spans="1:12" ht="15" customHeight="1" x14ac:dyDescent="0.2">
      <c r="A38" s="58" t="s">
        <v>251</v>
      </c>
      <c r="B38" s="63">
        <v>685</v>
      </c>
      <c r="C38" s="63">
        <v>0</v>
      </c>
      <c r="D38" s="63">
        <v>0</v>
      </c>
      <c r="E38" s="63">
        <v>0</v>
      </c>
      <c r="F38" s="63">
        <v>0</v>
      </c>
      <c r="G38" s="63">
        <v>0</v>
      </c>
      <c r="H38" s="63">
        <v>0</v>
      </c>
      <c r="I38" s="63">
        <v>814.24974126272525</v>
      </c>
      <c r="J38" s="63">
        <v>0</v>
      </c>
      <c r="K38" s="63">
        <v>0</v>
      </c>
      <c r="L38" s="63">
        <v>0</v>
      </c>
    </row>
    <row r="39" spans="1:12" ht="15" customHeight="1" x14ac:dyDescent="0.2">
      <c r="A39" s="58" t="s">
        <v>252</v>
      </c>
      <c r="B39" s="63">
        <v>212.5</v>
      </c>
      <c r="C39" s="63">
        <v>0</v>
      </c>
      <c r="D39" s="63">
        <v>0</v>
      </c>
      <c r="E39" s="63">
        <v>0</v>
      </c>
      <c r="F39" s="63">
        <v>0</v>
      </c>
      <c r="G39" s="63">
        <v>0</v>
      </c>
      <c r="H39" s="63">
        <v>0</v>
      </c>
      <c r="I39" s="63">
        <v>0</v>
      </c>
      <c r="J39" s="63">
        <v>0</v>
      </c>
      <c r="K39" s="63">
        <v>265.38338111387878</v>
      </c>
      <c r="L39" s="63">
        <v>0</v>
      </c>
    </row>
    <row r="40" spans="1:12" ht="15" customHeight="1" x14ac:dyDescent="0.2">
      <c r="A40" s="58" t="s">
        <v>253</v>
      </c>
      <c r="B40" s="63">
        <v>1626</v>
      </c>
      <c r="C40" s="63">
        <v>1666.65</v>
      </c>
      <c r="D40" s="63">
        <v>0</v>
      </c>
      <c r="E40" s="63">
        <v>0</v>
      </c>
      <c r="F40" s="63">
        <v>1794.799760156249</v>
      </c>
      <c r="G40" s="63">
        <v>0</v>
      </c>
      <c r="H40" s="63">
        <v>0</v>
      </c>
      <c r="I40" s="63">
        <v>1932.803035464513</v>
      </c>
      <c r="J40" s="63">
        <v>0</v>
      </c>
      <c r="K40" s="63">
        <v>0</v>
      </c>
      <c r="L40" s="63">
        <v>2081.4174688632761</v>
      </c>
    </row>
    <row r="41" spans="1:12" ht="15" customHeight="1" x14ac:dyDescent="0.2">
      <c r="A41" s="58" t="s">
        <v>254</v>
      </c>
      <c r="B41" s="63">
        <v>625</v>
      </c>
      <c r="C41" s="63">
        <v>640.625</v>
      </c>
      <c r="D41" s="63">
        <v>0</v>
      </c>
      <c r="E41" s="63">
        <v>0</v>
      </c>
      <c r="F41" s="63">
        <v>0</v>
      </c>
      <c r="G41" s="63">
        <v>707.13013305664026</v>
      </c>
      <c r="H41" s="63">
        <v>0</v>
      </c>
      <c r="I41" s="63">
        <v>0</v>
      </c>
      <c r="J41" s="63">
        <v>0</v>
      </c>
      <c r="K41" s="63">
        <v>780.53935621729067</v>
      </c>
      <c r="L41" s="63">
        <v>0</v>
      </c>
    </row>
    <row r="42" spans="1:12" ht="15" customHeight="1" x14ac:dyDescent="0.2">
      <c r="A42" s="58" t="s">
        <v>146</v>
      </c>
      <c r="B42" s="63">
        <v>3148.5</v>
      </c>
      <c r="C42" s="63">
        <v>2307.2750000000001</v>
      </c>
      <c r="D42" s="63">
        <v>0</v>
      </c>
      <c r="E42" s="63">
        <v>0</v>
      </c>
      <c r="F42" s="63">
        <v>1794.799760156249</v>
      </c>
      <c r="G42" s="63">
        <v>707.13013305664026</v>
      </c>
      <c r="H42" s="63">
        <v>0</v>
      </c>
      <c r="I42" s="63">
        <v>2747.0527767272379</v>
      </c>
      <c r="J42" s="63">
        <v>0</v>
      </c>
      <c r="K42" s="63">
        <v>1045.9227373311701</v>
      </c>
      <c r="L42" s="63">
        <v>2081.4174688632761</v>
      </c>
    </row>
    <row r="44" spans="1:12" ht="15" customHeight="1" x14ac:dyDescent="0.2">
      <c r="A44" s="58" t="s">
        <v>205</v>
      </c>
      <c r="B44" s="63">
        <v>104945</v>
      </c>
      <c r="C44" s="63">
        <v>8878.5499999999993</v>
      </c>
      <c r="D44" s="63">
        <v>1313.28125</v>
      </c>
      <c r="E44" s="63">
        <v>2757.9168906249988</v>
      </c>
      <c r="F44" s="63">
        <v>17350.834827734368</v>
      </c>
      <c r="G44" s="63">
        <v>5444.9020245361307</v>
      </c>
      <c r="H44" s="63">
        <v>23740.08396423607</v>
      </c>
      <c r="I44" s="63">
        <v>10439.03828871424</v>
      </c>
      <c r="J44" s="63">
        <v>7696.6511035701469</v>
      </c>
      <c r="K44" s="63">
        <v>5290.18354069831</v>
      </c>
      <c r="L44" s="63">
        <v>9487.9866415833967</v>
      </c>
    </row>
  </sheetData>
  <pageMargins left="0.7" right="0.7" top="0.75" bottom="0.75" header="0.3" footer="0.3"/>
  <pageSetup paperSize="9" orientation="landscape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>
    <tabColor rgb="FFFFC000"/>
  </sheetPr>
  <dimension ref="A1:Z44"/>
  <sheetViews>
    <sheetView zoomScale="90" zoomScaleNormal="90" workbookViewId="0">
      <selection sqref="A1:L44"/>
    </sheetView>
  </sheetViews>
  <sheetFormatPr defaultColWidth="9.140625" defaultRowHeight="15" customHeight="1" x14ac:dyDescent="0.25"/>
  <cols>
    <col min="1" max="1" width="50.85546875" style="59" bestFit="1" customWidth="1"/>
    <col min="2" max="2" width="12" style="64" customWidth="1"/>
    <col min="3" max="5" width="5.7109375" style="64" bestFit="1" customWidth="1"/>
    <col min="6" max="6" width="6.42578125" style="64" bestFit="1" customWidth="1"/>
    <col min="7" max="7" width="5.7109375" style="64" bestFit="1" customWidth="1"/>
    <col min="8" max="9" width="6.42578125" style="64" bestFit="1" customWidth="1"/>
    <col min="10" max="12" width="5.7109375" style="64" bestFit="1" customWidth="1"/>
    <col min="13" max="19" width="5.7109375" style="64" customWidth="1"/>
    <col min="20" max="26" width="9.140625" style="64" customWidth="1"/>
    <col min="27" max="27" width="9.140625" style="57" customWidth="1"/>
    <col min="28" max="16384" width="9.140625" style="57"/>
  </cols>
  <sheetData>
    <row r="1" spans="1:12" s="66" customFormat="1" ht="15" customHeight="1" x14ac:dyDescent="0.25">
      <c r="A1" s="65" t="s">
        <v>203</v>
      </c>
      <c r="B1" s="66" t="s">
        <v>204</v>
      </c>
      <c r="C1" s="66" t="s">
        <v>220</v>
      </c>
      <c r="D1" s="66" t="s">
        <v>221</v>
      </c>
      <c r="E1" s="66" t="s">
        <v>222</v>
      </c>
      <c r="F1" s="66" t="s">
        <v>223</v>
      </c>
      <c r="G1" s="66" t="s">
        <v>224</v>
      </c>
      <c r="H1" s="66" t="s">
        <v>225</v>
      </c>
      <c r="I1" s="66" t="s">
        <v>226</v>
      </c>
      <c r="J1" s="66" t="s">
        <v>227</v>
      </c>
      <c r="K1" s="66" t="s">
        <v>228</v>
      </c>
      <c r="L1" s="66" t="s">
        <v>229</v>
      </c>
    </row>
    <row r="2" spans="1:12" ht="15" customHeight="1" x14ac:dyDescent="0.25">
      <c r="A2" s="59" t="s">
        <v>212</v>
      </c>
    </row>
    <row r="3" spans="1:12" ht="15" customHeight="1" x14ac:dyDescent="0.25">
      <c r="A3" s="59" t="s">
        <v>230</v>
      </c>
      <c r="B3" s="64">
        <v>11681.25</v>
      </c>
      <c r="C3" s="64">
        <v>0</v>
      </c>
      <c r="D3" s="64">
        <v>0</v>
      </c>
      <c r="E3" s="64">
        <v>0</v>
      </c>
      <c r="F3" s="64">
        <v>0</v>
      </c>
      <c r="G3" s="64">
        <v>0</v>
      </c>
      <c r="H3" s="64">
        <v>13546.668741499319</v>
      </c>
      <c r="I3" s="64">
        <v>0</v>
      </c>
      <c r="J3" s="64">
        <v>0</v>
      </c>
      <c r="K3" s="64">
        <v>0</v>
      </c>
      <c r="L3" s="64">
        <v>0</v>
      </c>
    </row>
    <row r="4" spans="1:12" ht="15" customHeight="1" x14ac:dyDescent="0.25">
      <c r="A4" s="59" t="s">
        <v>231</v>
      </c>
      <c r="B4" s="64">
        <v>2475</v>
      </c>
      <c r="C4" s="64">
        <v>0</v>
      </c>
      <c r="D4" s="64">
        <v>0</v>
      </c>
      <c r="E4" s="64">
        <v>0</v>
      </c>
      <c r="F4" s="64">
        <v>0</v>
      </c>
      <c r="G4" s="64">
        <v>0</v>
      </c>
      <c r="H4" s="64">
        <v>2870.241210076902</v>
      </c>
      <c r="I4" s="64">
        <v>0</v>
      </c>
      <c r="J4" s="64">
        <v>0</v>
      </c>
      <c r="K4" s="64">
        <v>0</v>
      </c>
      <c r="L4" s="64">
        <v>0</v>
      </c>
    </row>
    <row r="5" spans="1:12" ht="15" customHeight="1" x14ac:dyDescent="0.25">
      <c r="A5" s="59" t="s">
        <v>232</v>
      </c>
      <c r="B5" s="64">
        <v>480</v>
      </c>
      <c r="C5" s="64">
        <v>0</v>
      </c>
      <c r="D5" s="64">
        <v>0</v>
      </c>
      <c r="E5" s="64">
        <v>0</v>
      </c>
      <c r="F5" s="64">
        <v>0</v>
      </c>
      <c r="G5" s="64">
        <v>0</v>
      </c>
      <c r="H5" s="64">
        <v>556.65284074218721</v>
      </c>
      <c r="I5" s="64">
        <v>0</v>
      </c>
      <c r="J5" s="64">
        <v>0</v>
      </c>
      <c r="K5" s="64">
        <v>0</v>
      </c>
      <c r="L5" s="64">
        <v>0</v>
      </c>
    </row>
    <row r="6" spans="1:12" ht="15" customHeight="1" x14ac:dyDescent="0.25">
      <c r="A6" s="59" t="s">
        <v>233</v>
      </c>
      <c r="B6" s="64">
        <v>1221.75</v>
      </c>
      <c r="C6" s="64">
        <v>0</v>
      </c>
      <c r="D6" s="64">
        <v>0</v>
      </c>
      <c r="E6" s="64">
        <v>0</v>
      </c>
      <c r="F6" s="64">
        <v>1348.583399121093</v>
      </c>
      <c r="G6" s="64">
        <v>0</v>
      </c>
      <c r="H6" s="64">
        <v>0</v>
      </c>
      <c r="I6" s="64">
        <v>0</v>
      </c>
      <c r="J6" s="64">
        <v>1488.5837400327409</v>
      </c>
      <c r="K6" s="64">
        <v>0</v>
      </c>
      <c r="L6" s="64">
        <v>0</v>
      </c>
    </row>
    <row r="7" spans="1:12" ht="15" customHeight="1" x14ac:dyDescent="0.25">
      <c r="A7" s="59" t="s">
        <v>234</v>
      </c>
      <c r="B7" s="64">
        <v>1998.75</v>
      </c>
      <c r="C7" s="64">
        <v>0</v>
      </c>
      <c r="D7" s="64">
        <v>0</v>
      </c>
      <c r="E7" s="64">
        <v>0</v>
      </c>
      <c r="F7" s="64">
        <v>0</v>
      </c>
      <c r="G7" s="64">
        <v>0</v>
      </c>
      <c r="H7" s="64">
        <v>2317.9372196530139</v>
      </c>
      <c r="I7" s="64">
        <v>0</v>
      </c>
      <c r="J7" s="64">
        <v>0</v>
      </c>
      <c r="K7" s="64">
        <v>0</v>
      </c>
      <c r="L7" s="64">
        <v>0</v>
      </c>
    </row>
    <row r="8" spans="1:12" ht="15" customHeight="1" x14ac:dyDescent="0.25">
      <c r="A8" s="59" t="s">
        <v>235</v>
      </c>
      <c r="B8" s="64">
        <v>1402.5</v>
      </c>
      <c r="C8" s="64">
        <v>0</v>
      </c>
      <c r="D8" s="64">
        <v>0</v>
      </c>
      <c r="E8" s="64">
        <v>1510.3391015625</v>
      </c>
      <c r="F8" s="64">
        <v>0</v>
      </c>
      <c r="G8" s="64">
        <v>0</v>
      </c>
      <c r="H8" s="64">
        <v>1626.4700190435781</v>
      </c>
      <c r="I8" s="64">
        <v>0</v>
      </c>
      <c r="J8" s="64">
        <v>0</v>
      </c>
      <c r="K8" s="64">
        <v>1751.5303153515999</v>
      </c>
      <c r="L8" s="64">
        <v>0</v>
      </c>
    </row>
    <row r="9" spans="1:12" ht="15" customHeight="1" x14ac:dyDescent="0.25">
      <c r="A9" s="59" t="s">
        <v>236</v>
      </c>
      <c r="B9" s="64">
        <v>1035</v>
      </c>
      <c r="C9" s="64">
        <v>0</v>
      </c>
      <c r="D9" s="64">
        <v>0</v>
      </c>
      <c r="E9" s="64">
        <v>0</v>
      </c>
      <c r="F9" s="64">
        <v>0</v>
      </c>
      <c r="G9" s="64">
        <v>0</v>
      </c>
      <c r="H9" s="64">
        <v>1200.2826878503411</v>
      </c>
      <c r="I9" s="64">
        <v>0</v>
      </c>
      <c r="J9" s="64">
        <v>0</v>
      </c>
      <c r="K9" s="64">
        <v>0</v>
      </c>
      <c r="L9" s="64">
        <v>0</v>
      </c>
    </row>
    <row r="10" spans="1:12" ht="15" customHeight="1" x14ac:dyDescent="0.25">
      <c r="A10" s="59" t="s">
        <v>237</v>
      </c>
      <c r="B10" s="64">
        <v>877.5</v>
      </c>
      <c r="C10" s="64">
        <v>0</v>
      </c>
      <c r="D10" s="64">
        <v>0</v>
      </c>
      <c r="E10" s="64">
        <v>0</v>
      </c>
      <c r="F10" s="64">
        <v>0</v>
      </c>
      <c r="G10" s="64">
        <v>0</v>
      </c>
      <c r="H10" s="64">
        <v>1017.630974481811</v>
      </c>
      <c r="I10" s="64">
        <v>0</v>
      </c>
      <c r="J10" s="64">
        <v>0</v>
      </c>
      <c r="K10" s="64">
        <v>0</v>
      </c>
      <c r="L10" s="64">
        <v>0</v>
      </c>
    </row>
    <row r="11" spans="1:12" ht="15" customHeight="1" x14ac:dyDescent="0.25">
      <c r="A11" s="59" t="s">
        <v>238</v>
      </c>
      <c r="B11" s="64">
        <v>3217.5</v>
      </c>
      <c r="C11" s="64">
        <v>3297.9375</v>
      </c>
      <c r="D11" s="64">
        <v>0</v>
      </c>
      <c r="E11" s="64">
        <v>0</v>
      </c>
      <c r="F11" s="64">
        <v>3551.5179755859372</v>
      </c>
      <c r="G11" s="64">
        <v>0</v>
      </c>
      <c r="H11" s="64">
        <v>0</v>
      </c>
      <c r="I11" s="64">
        <v>3824.5964124274728</v>
      </c>
      <c r="J11" s="64">
        <v>0</v>
      </c>
      <c r="K11" s="64">
        <v>0</v>
      </c>
      <c r="L11" s="64">
        <v>4118.6720209517789</v>
      </c>
    </row>
    <row r="12" spans="1:12" ht="15" customHeight="1" x14ac:dyDescent="0.25">
      <c r="A12" s="59" t="s">
        <v>239</v>
      </c>
      <c r="B12" s="64">
        <v>2722.5</v>
      </c>
      <c r="C12" s="64">
        <v>2790.5625</v>
      </c>
      <c r="D12" s="64">
        <v>0</v>
      </c>
      <c r="E12" s="64">
        <v>0</v>
      </c>
      <c r="F12" s="64">
        <v>3005.130594726561</v>
      </c>
      <c r="G12" s="64">
        <v>0</v>
      </c>
      <c r="H12" s="64">
        <v>0</v>
      </c>
      <c r="I12" s="64">
        <v>3236.1969643617072</v>
      </c>
      <c r="J12" s="64">
        <v>0</v>
      </c>
      <c r="K12" s="64">
        <v>0</v>
      </c>
      <c r="L12" s="64">
        <v>3485.0301715745809</v>
      </c>
    </row>
    <row r="13" spans="1:12" ht="15" customHeight="1" x14ac:dyDescent="0.25">
      <c r="A13" s="59" t="s">
        <v>146</v>
      </c>
      <c r="B13" s="64">
        <v>27111.75</v>
      </c>
      <c r="C13" s="64">
        <v>6088.5</v>
      </c>
      <c r="D13" s="64">
        <v>0</v>
      </c>
      <c r="E13" s="64">
        <v>1510.3391015625</v>
      </c>
      <c r="F13" s="64">
        <v>7905.2319694335911</v>
      </c>
      <c r="G13" s="64">
        <v>0</v>
      </c>
      <c r="H13" s="64">
        <v>23135.883693347161</v>
      </c>
      <c r="I13" s="64">
        <v>7060.79337678918</v>
      </c>
      <c r="J13" s="64">
        <v>1488.5837400327409</v>
      </c>
      <c r="K13" s="64">
        <v>1751.5303153515999</v>
      </c>
      <c r="L13" s="64">
        <v>7603.7021925263598</v>
      </c>
    </row>
    <row r="14" spans="1:12" ht="15" customHeight="1" x14ac:dyDescent="0.25">
      <c r="A14" s="59" t="s">
        <v>213</v>
      </c>
    </row>
    <row r="15" spans="1:12" ht="15" customHeight="1" x14ac:dyDescent="0.25">
      <c r="A15" s="59" t="s">
        <v>240</v>
      </c>
      <c r="B15" s="64">
        <v>4252.5</v>
      </c>
      <c r="C15" s="64">
        <v>0</v>
      </c>
      <c r="D15" s="64">
        <v>0</v>
      </c>
      <c r="E15" s="64">
        <v>0</v>
      </c>
      <c r="F15" s="64">
        <v>4693.9643173828108</v>
      </c>
      <c r="G15" s="64">
        <v>0</v>
      </c>
      <c r="H15" s="64">
        <v>0</v>
      </c>
      <c r="I15" s="64">
        <v>0</v>
      </c>
      <c r="J15" s="64">
        <v>5181.2583216609228</v>
      </c>
      <c r="K15" s="64">
        <v>0</v>
      </c>
      <c r="L15" s="64">
        <v>0</v>
      </c>
    </row>
    <row r="16" spans="1:12" ht="15" customHeight="1" x14ac:dyDescent="0.25">
      <c r="A16" s="59" t="s">
        <v>241</v>
      </c>
      <c r="B16" s="64">
        <v>1250</v>
      </c>
      <c r="C16" s="64">
        <v>0</v>
      </c>
      <c r="D16" s="64">
        <v>1313.28125</v>
      </c>
      <c r="E16" s="64">
        <v>0</v>
      </c>
      <c r="F16" s="64">
        <v>0</v>
      </c>
      <c r="G16" s="64">
        <v>1414.260266113281</v>
      </c>
      <c r="H16" s="64">
        <v>0</v>
      </c>
      <c r="I16" s="64">
        <v>0</v>
      </c>
      <c r="J16" s="64">
        <v>1523.003621887397</v>
      </c>
      <c r="K16" s="64">
        <v>0</v>
      </c>
      <c r="L16" s="64">
        <v>0</v>
      </c>
    </row>
    <row r="17" spans="1:12" ht="15" customHeight="1" x14ac:dyDescent="0.25">
      <c r="A17" s="59" t="s">
        <v>146</v>
      </c>
      <c r="B17" s="64">
        <v>12652.5</v>
      </c>
      <c r="C17" s="64">
        <v>0</v>
      </c>
      <c r="D17" s="64">
        <v>1313.28125</v>
      </c>
      <c r="E17" s="64">
        <v>0</v>
      </c>
      <c r="F17" s="64">
        <v>4693.9643173828108</v>
      </c>
      <c r="G17" s="64">
        <v>1414.260266113281</v>
      </c>
      <c r="H17" s="64">
        <v>0</v>
      </c>
      <c r="I17" s="64">
        <v>0</v>
      </c>
      <c r="J17" s="64">
        <v>6704.2619435483193</v>
      </c>
      <c r="K17" s="64">
        <v>0</v>
      </c>
      <c r="L17" s="64">
        <v>0</v>
      </c>
    </row>
    <row r="18" spans="1:12" ht="15" customHeight="1" x14ac:dyDescent="0.25">
      <c r="A18" s="59" t="s">
        <v>214</v>
      </c>
    </row>
    <row r="19" spans="1:12" ht="15" customHeight="1" x14ac:dyDescent="0.25">
      <c r="A19" s="59" t="s">
        <v>242</v>
      </c>
      <c r="B19" s="64">
        <v>760</v>
      </c>
      <c r="C19" s="64">
        <v>0</v>
      </c>
      <c r="D19" s="64">
        <v>0</v>
      </c>
      <c r="E19" s="64">
        <v>0</v>
      </c>
      <c r="F19" s="64">
        <v>0</v>
      </c>
      <c r="G19" s="64">
        <v>0</v>
      </c>
      <c r="H19" s="64">
        <v>881.36699784179643</v>
      </c>
      <c r="I19" s="64">
        <v>0</v>
      </c>
      <c r="J19" s="64">
        <v>0</v>
      </c>
      <c r="K19" s="64">
        <v>0</v>
      </c>
      <c r="L19" s="64">
        <v>0</v>
      </c>
    </row>
    <row r="20" spans="1:12" ht="15" customHeight="1" x14ac:dyDescent="0.25">
      <c r="A20" s="59" t="s">
        <v>243</v>
      </c>
      <c r="B20" s="64">
        <v>1744</v>
      </c>
      <c r="C20" s="64">
        <v>0</v>
      </c>
      <c r="D20" s="64">
        <v>0</v>
      </c>
      <c r="E20" s="64">
        <v>0</v>
      </c>
      <c r="F20" s="64">
        <v>0</v>
      </c>
      <c r="G20" s="64">
        <v>0</v>
      </c>
      <c r="H20" s="64">
        <v>2022.50532136328</v>
      </c>
      <c r="I20" s="64">
        <v>0</v>
      </c>
      <c r="J20" s="64">
        <v>0</v>
      </c>
      <c r="K20" s="64">
        <v>0</v>
      </c>
      <c r="L20" s="64">
        <v>0</v>
      </c>
    </row>
    <row r="21" spans="1:12" ht="15" customHeight="1" x14ac:dyDescent="0.25">
      <c r="A21" s="59" t="s">
        <v>244</v>
      </c>
      <c r="B21" s="64">
        <v>550</v>
      </c>
      <c r="C21" s="64">
        <v>0</v>
      </c>
      <c r="D21" s="64">
        <v>0</v>
      </c>
      <c r="E21" s="64">
        <v>0</v>
      </c>
      <c r="F21" s="64">
        <v>0</v>
      </c>
      <c r="G21" s="64">
        <v>0</v>
      </c>
      <c r="H21" s="64">
        <v>637.8313800170896</v>
      </c>
      <c r="I21" s="64">
        <v>0</v>
      </c>
      <c r="J21" s="64">
        <v>0</v>
      </c>
      <c r="K21" s="64">
        <v>0</v>
      </c>
      <c r="L21" s="64">
        <v>0</v>
      </c>
    </row>
    <row r="22" spans="1:12" ht="15" customHeight="1" x14ac:dyDescent="0.25">
      <c r="A22" s="59" t="s">
        <v>245</v>
      </c>
      <c r="B22" s="64">
        <v>200</v>
      </c>
      <c r="C22" s="64">
        <v>205</v>
      </c>
      <c r="D22" s="64">
        <v>0</v>
      </c>
      <c r="E22" s="64">
        <v>0</v>
      </c>
      <c r="F22" s="64">
        <v>220.76257812499989</v>
      </c>
      <c r="G22" s="64">
        <v>0</v>
      </c>
      <c r="H22" s="64">
        <v>0</v>
      </c>
      <c r="I22" s="64">
        <v>237.73715073364241</v>
      </c>
      <c r="J22" s="64">
        <v>0</v>
      </c>
      <c r="K22" s="64">
        <v>0</v>
      </c>
      <c r="L22" s="64">
        <v>256.01690883927131</v>
      </c>
    </row>
    <row r="23" spans="1:12" ht="15" customHeight="1" x14ac:dyDescent="0.25">
      <c r="A23" s="59" t="s">
        <v>146</v>
      </c>
      <c r="B23" s="64">
        <v>5779</v>
      </c>
      <c r="C23" s="64">
        <v>205</v>
      </c>
      <c r="D23" s="64">
        <v>0</v>
      </c>
      <c r="E23" s="64">
        <v>0</v>
      </c>
      <c r="F23" s="64">
        <v>220.76257812499989</v>
      </c>
      <c r="G23" s="64">
        <v>0</v>
      </c>
      <c r="H23" s="64">
        <v>3541.7036992221661</v>
      </c>
      <c r="I23" s="64">
        <v>237.73715073364241</v>
      </c>
      <c r="J23" s="64">
        <v>0</v>
      </c>
      <c r="K23" s="64">
        <v>0</v>
      </c>
      <c r="L23" s="64">
        <v>256.01690883927131</v>
      </c>
    </row>
    <row r="24" spans="1:12" ht="15" customHeight="1" x14ac:dyDescent="0.25">
      <c r="A24" s="59" t="s">
        <v>215</v>
      </c>
    </row>
    <row r="25" spans="1:12" ht="15" customHeight="1" x14ac:dyDescent="0.25">
      <c r="A25" s="59" t="s">
        <v>246</v>
      </c>
      <c r="B25" s="64">
        <v>3240</v>
      </c>
      <c r="C25" s="64">
        <v>0</v>
      </c>
      <c r="D25" s="64">
        <v>0</v>
      </c>
      <c r="E25" s="64">
        <v>0</v>
      </c>
      <c r="F25" s="64">
        <v>3576.3537656249978</v>
      </c>
      <c r="G25" s="64">
        <v>0</v>
      </c>
      <c r="H25" s="64">
        <v>0</v>
      </c>
      <c r="I25" s="64">
        <v>0</v>
      </c>
      <c r="J25" s="64">
        <v>0</v>
      </c>
      <c r="K25" s="64">
        <v>0</v>
      </c>
      <c r="L25" s="64">
        <v>0</v>
      </c>
    </row>
    <row r="26" spans="1:12" ht="15" customHeight="1" x14ac:dyDescent="0.25">
      <c r="A26" s="59" t="s">
        <v>247</v>
      </c>
      <c r="B26" s="64">
        <v>2271</v>
      </c>
      <c r="C26" s="64">
        <v>0</v>
      </c>
      <c r="D26" s="64">
        <v>0</v>
      </c>
      <c r="E26" s="64">
        <v>0</v>
      </c>
      <c r="F26" s="64">
        <v>0</v>
      </c>
      <c r="G26" s="64">
        <v>0</v>
      </c>
      <c r="H26" s="64">
        <v>2633.663752761473</v>
      </c>
      <c r="I26" s="64">
        <v>0</v>
      </c>
      <c r="J26" s="64">
        <v>0</v>
      </c>
      <c r="K26" s="64">
        <v>0</v>
      </c>
      <c r="L26" s="64">
        <v>0</v>
      </c>
    </row>
    <row r="27" spans="1:12" ht="15" customHeight="1" x14ac:dyDescent="0.25">
      <c r="A27" s="59" t="s">
        <v>248</v>
      </c>
      <c r="B27" s="64">
        <v>220</v>
      </c>
      <c r="C27" s="64">
        <v>0</v>
      </c>
      <c r="D27" s="64">
        <v>0</v>
      </c>
      <c r="E27" s="64">
        <v>0</v>
      </c>
      <c r="F27" s="64">
        <v>0</v>
      </c>
      <c r="G27" s="64">
        <v>0</v>
      </c>
      <c r="H27" s="64">
        <v>255.13255200683579</v>
      </c>
      <c r="I27" s="64">
        <v>0</v>
      </c>
      <c r="J27" s="64">
        <v>0</v>
      </c>
      <c r="K27" s="64">
        <v>0</v>
      </c>
      <c r="L27" s="64">
        <v>0</v>
      </c>
    </row>
    <row r="28" spans="1:12" ht="15" customHeight="1" x14ac:dyDescent="0.25">
      <c r="A28" s="59" t="s">
        <v>249</v>
      </c>
      <c r="B28" s="64">
        <v>2312.5</v>
      </c>
      <c r="C28" s="64">
        <v>0</v>
      </c>
      <c r="D28" s="64">
        <v>0</v>
      </c>
      <c r="E28" s="64">
        <v>0</v>
      </c>
      <c r="F28" s="64">
        <v>0</v>
      </c>
      <c r="G28" s="64">
        <v>2616.3814923095701</v>
      </c>
      <c r="H28" s="64">
        <v>0</v>
      </c>
      <c r="I28" s="64">
        <v>0</v>
      </c>
      <c r="J28" s="64">
        <v>0</v>
      </c>
      <c r="K28" s="64">
        <v>0</v>
      </c>
      <c r="L28" s="64">
        <v>0</v>
      </c>
    </row>
    <row r="29" spans="1:12" ht="15" customHeight="1" x14ac:dyDescent="0.25">
      <c r="A29" s="59" t="s">
        <v>250</v>
      </c>
      <c r="B29" s="64">
        <v>1626</v>
      </c>
      <c r="C29" s="64">
        <v>0</v>
      </c>
      <c r="D29" s="64">
        <v>0</v>
      </c>
      <c r="E29" s="64">
        <v>1751.02415625</v>
      </c>
      <c r="F29" s="64">
        <v>0</v>
      </c>
      <c r="G29" s="64">
        <v>0</v>
      </c>
      <c r="H29" s="64">
        <v>1885.661498014159</v>
      </c>
      <c r="I29" s="64">
        <v>0</v>
      </c>
      <c r="J29" s="64">
        <v>0</v>
      </c>
      <c r="K29" s="64">
        <v>2030.6511891349039</v>
      </c>
      <c r="L29" s="64">
        <v>0</v>
      </c>
    </row>
    <row r="30" spans="1:12" ht="15" customHeight="1" x14ac:dyDescent="0.25">
      <c r="A30" s="59" t="s">
        <v>146</v>
      </c>
      <c r="B30" s="64">
        <v>9669.5</v>
      </c>
      <c r="C30" s="64">
        <v>0</v>
      </c>
      <c r="D30" s="64">
        <v>0</v>
      </c>
      <c r="E30" s="64">
        <v>1751.02415625</v>
      </c>
      <c r="F30" s="64">
        <v>3576.3537656249978</v>
      </c>
      <c r="G30" s="64">
        <v>2616.3814923095701</v>
      </c>
      <c r="H30" s="64">
        <v>4774.4578027824682</v>
      </c>
      <c r="I30" s="64">
        <v>0</v>
      </c>
      <c r="J30" s="64">
        <v>0</v>
      </c>
      <c r="K30" s="64">
        <v>2030.6511891349039</v>
      </c>
      <c r="L30" s="64">
        <v>0</v>
      </c>
    </row>
    <row r="31" spans="1:12" ht="15" customHeight="1" x14ac:dyDescent="0.25">
      <c r="A31" s="59" t="s">
        <v>216</v>
      </c>
    </row>
    <row r="32" spans="1:12" ht="15" customHeight="1" x14ac:dyDescent="0.25">
      <c r="A32" s="59" t="s">
        <v>251</v>
      </c>
      <c r="B32" s="64">
        <v>685</v>
      </c>
      <c r="C32" s="64">
        <v>0</v>
      </c>
      <c r="D32" s="64">
        <v>0</v>
      </c>
      <c r="E32" s="64">
        <v>0</v>
      </c>
      <c r="F32" s="64">
        <v>0</v>
      </c>
      <c r="G32" s="64">
        <v>0</v>
      </c>
      <c r="H32" s="64">
        <v>0</v>
      </c>
      <c r="I32" s="64">
        <v>814.24974126272525</v>
      </c>
      <c r="J32" s="64">
        <v>0</v>
      </c>
      <c r="K32" s="64">
        <v>0</v>
      </c>
      <c r="L32" s="64">
        <v>0</v>
      </c>
    </row>
    <row r="33" spans="1:12" ht="15" customHeight="1" x14ac:dyDescent="0.25">
      <c r="A33" s="59" t="s">
        <v>252</v>
      </c>
      <c r="B33" s="64">
        <v>212.5</v>
      </c>
      <c r="C33" s="64">
        <v>0</v>
      </c>
      <c r="D33" s="64">
        <v>0</v>
      </c>
      <c r="E33" s="64">
        <v>0</v>
      </c>
      <c r="F33" s="64">
        <v>0</v>
      </c>
      <c r="G33" s="64">
        <v>0</v>
      </c>
      <c r="H33" s="64">
        <v>0</v>
      </c>
      <c r="I33" s="64">
        <v>0</v>
      </c>
      <c r="J33" s="64">
        <v>0</v>
      </c>
      <c r="K33" s="64">
        <v>265.38338111387878</v>
      </c>
      <c r="L33" s="64">
        <v>0</v>
      </c>
    </row>
    <row r="34" spans="1:12" ht="15" customHeight="1" x14ac:dyDescent="0.25">
      <c r="A34" s="59" t="s">
        <v>253</v>
      </c>
      <c r="B34" s="64">
        <v>1626</v>
      </c>
      <c r="C34" s="64">
        <v>1666.65</v>
      </c>
      <c r="D34" s="64">
        <v>0</v>
      </c>
      <c r="E34" s="64">
        <v>0</v>
      </c>
      <c r="F34" s="64">
        <v>1794.799760156249</v>
      </c>
      <c r="G34" s="64">
        <v>0</v>
      </c>
      <c r="H34" s="64">
        <v>0</v>
      </c>
      <c r="I34" s="64">
        <v>1932.803035464513</v>
      </c>
      <c r="J34" s="64">
        <v>0</v>
      </c>
      <c r="K34" s="64">
        <v>0</v>
      </c>
      <c r="L34" s="64">
        <v>2081.4174688632761</v>
      </c>
    </row>
    <row r="35" spans="1:12" ht="15" customHeight="1" x14ac:dyDescent="0.25">
      <c r="A35" s="59" t="s">
        <v>254</v>
      </c>
      <c r="B35" s="64">
        <v>625</v>
      </c>
      <c r="C35" s="64">
        <v>640.625</v>
      </c>
      <c r="D35" s="64">
        <v>0</v>
      </c>
      <c r="E35" s="64">
        <v>0</v>
      </c>
      <c r="F35" s="64">
        <v>0</v>
      </c>
      <c r="G35" s="64">
        <v>707.13013305664026</v>
      </c>
      <c r="H35" s="64">
        <v>0</v>
      </c>
      <c r="I35" s="64">
        <v>0</v>
      </c>
      <c r="J35" s="64">
        <v>0</v>
      </c>
      <c r="K35" s="64">
        <v>780.53935621729067</v>
      </c>
      <c r="L35" s="64">
        <v>0</v>
      </c>
    </row>
    <row r="36" spans="1:12" ht="15" customHeight="1" x14ac:dyDescent="0.25">
      <c r="A36" s="59" t="s">
        <v>146</v>
      </c>
      <c r="B36" s="64">
        <v>3148.5</v>
      </c>
      <c r="C36" s="64">
        <v>2307.2750000000001</v>
      </c>
      <c r="D36" s="64">
        <v>0</v>
      </c>
      <c r="E36" s="64">
        <v>0</v>
      </c>
      <c r="F36" s="64">
        <v>1794.799760156249</v>
      </c>
      <c r="G36" s="64">
        <v>707.13013305664026</v>
      </c>
      <c r="H36" s="64">
        <v>0</v>
      </c>
      <c r="I36" s="64">
        <v>2747.0527767272379</v>
      </c>
      <c r="J36" s="64">
        <v>0</v>
      </c>
      <c r="K36" s="64">
        <v>1045.9227373311701</v>
      </c>
      <c r="L36" s="64">
        <v>2081.4174688632761</v>
      </c>
    </row>
    <row r="37" spans="1:12" ht="15" customHeight="1" x14ac:dyDescent="0.25">
      <c r="A37" s="59" t="s">
        <v>217</v>
      </c>
    </row>
    <row r="38" spans="1:12" ht="15" customHeight="1" x14ac:dyDescent="0.25">
      <c r="A38" s="59" t="s">
        <v>251</v>
      </c>
      <c r="B38" s="64">
        <v>685</v>
      </c>
      <c r="C38" s="64">
        <v>0</v>
      </c>
      <c r="D38" s="64">
        <v>0</v>
      </c>
      <c r="E38" s="64">
        <v>0</v>
      </c>
      <c r="F38" s="64">
        <v>0</v>
      </c>
      <c r="G38" s="64">
        <v>0</v>
      </c>
      <c r="H38" s="64">
        <v>0</v>
      </c>
      <c r="I38" s="64">
        <v>814.24974126272525</v>
      </c>
      <c r="J38" s="64">
        <v>0</v>
      </c>
      <c r="K38" s="64">
        <v>0</v>
      </c>
      <c r="L38" s="64">
        <v>0</v>
      </c>
    </row>
    <row r="39" spans="1:12" ht="15" customHeight="1" x14ac:dyDescent="0.25">
      <c r="A39" s="59" t="s">
        <v>252</v>
      </c>
      <c r="B39" s="64">
        <v>212.5</v>
      </c>
      <c r="C39" s="64">
        <v>0</v>
      </c>
      <c r="D39" s="64">
        <v>0</v>
      </c>
      <c r="E39" s="64">
        <v>0</v>
      </c>
      <c r="F39" s="64">
        <v>0</v>
      </c>
      <c r="G39" s="64">
        <v>0</v>
      </c>
      <c r="H39" s="64">
        <v>0</v>
      </c>
      <c r="I39" s="64">
        <v>0</v>
      </c>
      <c r="J39" s="64">
        <v>0</v>
      </c>
      <c r="K39" s="64">
        <v>265.38338111387878</v>
      </c>
      <c r="L39" s="64">
        <v>0</v>
      </c>
    </row>
    <row r="40" spans="1:12" ht="15" customHeight="1" x14ac:dyDescent="0.25">
      <c r="A40" s="59" t="s">
        <v>253</v>
      </c>
      <c r="B40" s="64">
        <v>1626</v>
      </c>
      <c r="C40" s="64">
        <v>1666.65</v>
      </c>
      <c r="D40" s="64">
        <v>0</v>
      </c>
      <c r="E40" s="64">
        <v>0</v>
      </c>
      <c r="F40" s="64">
        <v>1794.799760156249</v>
      </c>
      <c r="G40" s="64">
        <v>0</v>
      </c>
      <c r="H40" s="64">
        <v>0</v>
      </c>
      <c r="I40" s="64">
        <v>1932.803035464513</v>
      </c>
      <c r="J40" s="64">
        <v>0</v>
      </c>
      <c r="K40" s="64">
        <v>0</v>
      </c>
      <c r="L40" s="64">
        <v>2081.4174688632761</v>
      </c>
    </row>
    <row r="41" spans="1:12" ht="15" customHeight="1" x14ac:dyDescent="0.25">
      <c r="A41" s="59" t="s">
        <v>254</v>
      </c>
      <c r="B41" s="64">
        <v>625</v>
      </c>
      <c r="C41" s="64">
        <v>640.625</v>
      </c>
      <c r="D41" s="64">
        <v>0</v>
      </c>
      <c r="E41" s="64">
        <v>0</v>
      </c>
      <c r="F41" s="64">
        <v>0</v>
      </c>
      <c r="G41" s="64">
        <v>707.13013305664026</v>
      </c>
      <c r="H41" s="64">
        <v>0</v>
      </c>
      <c r="I41" s="64">
        <v>0</v>
      </c>
      <c r="J41" s="64">
        <v>0</v>
      </c>
      <c r="K41" s="64">
        <v>780.53935621729067</v>
      </c>
      <c r="L41" s="64">
        <v>0</v>
      </c>
    </row>
    <row r="42" spans="1:12" ht="15" customHeight="1" x14ac:dyDescent="0.25">
      <c r="A42" s="59" t="s">
        <v>146</v>
      </c>
      <c r="B42" s="64">
        <v>3148.5</v>
      </c>
      <c r="C42" s="64">
        <v>2307.2750000000001</v>
      </c>
      <c r="D42" s="64">
        <v>0</v>
      </c>
      <c r="E42" s="64">
        <v>0</v>
      </c>
      <c r="F42" s="64">
        <v>1794.799760156249</v>
      </c>
      <c r="G42" s="64">
        <v>707.13013305664026</v>
      </c>
      <c r="H42" s="64">
        <v>0</v>
      </c>
      <c r="I42" s="64">
        <v>2747.0527767272379</v>
      </c>
      <c r="J42" s="64">
        <v>0</v>
      </c>
      <c r="K42" s="64">
        <v>1045.9227373311701</v>
      </c>
      <c r="L42" s="64">
        <v>2081.4174688632761</v>
      </c>
    </row>
    <row r="44" spans="1:12" ht="15" customHeight="1" x14ac:dyDescent="0.25">
      <c r="A44" s="59" t="s">
        <v>205</v>
      </c>
      <c r="B44" s="64">
        <v>104945</v>
      </c>
      <c r="C44" s="64">
        <v>8878.5499999999993</v>
      </c>
      <c r="D44" s="64">
        <v>1313.28125</v>
      </c>
      <c r="E44" s="64">
        <v>2757.9168906249988</v>
      </c>
      <c r="F44" s="64">
        <v>17350.834827734368</v>
      </c>
      <c r="G44" s="64">
        <v>5444.9020245361307</v>
      </c>
      <c r="H44" s="64">
        <v>23740.08396423607</v>
      </c>
      <c r="I44" s="64">
        <v>10439.03828871424</v>
      </c>
      <c r="J44" s="64">
        <v>7696.6511035701469</v>
      </c>
      <c r="K44" s="64">
        <v>5290.18354069831</v>
      </c>
      <c r="L44" s="64">
        <v>9487.9866415833967</v>
      </c>
    </row>
  </sheetData>
  <pageMargins left="0.7" right="0.7" top="0.75" bottom="0.75" header="0.3" footer="0.3"/>
  <pageSetup paperSize="9" orientation="landscape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>
    <tabColor rgb="FFFFC000"/>
  </sheetPr>
  <dimension ref="B1:Z1"/>
  <sheetViews>
    <sheetView zoomScale="90" zoomScaleNormal="90" workbookViewId="0">
      <selection sqref="A1:A1048576"/>
    </sheetView>
  </sheetViews>
  <sheetFormatPr defaultColWidth="9.140625" defaultRowHeight="15" customHeight="1" x14ac:dyDescent="0.2"/>
  <cols>
    <col min="1" max="1" width="42.28515625" style="58" bestFit="1" customWidth="1"/>
    <col min="2" max="2" width="10.85546875" style="63" customWidth="1"/>
    <col min="3" max="3" width="4.7109375" style="63" bestFit="1" customWidth="1"/>
    <col min="4" max="4" width="3.42578125" style="63" bestFit="1" customWidth="1"/>
    <col min="5" max="12" width="4.7109375" style="63" bestFit="1" customWidth="1"/>
    <col min="13" max="19" width="5.7109375" style="63" customWidth="1"/>
    <col min="20" max="26" width="9.140625" style="63" customWidth="1"/>
    <col min="27" max="27" width="9.140625" style="58" customWidth="1"/>
    <col min="28" max="16384" width="9.140625" style="58"/>
  </cols>
  <sheetData/>
  <pageMargins left="0.7" right="0.7" top="0.75" bottom="0.75" header="0.3" footer="0.3"/>
  <pageSetup paperSize="9" orientation="landscape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1">
    <tabColor rgb="FFFFC000"/>
  </sheetPr>
  <dimension ref="B1:Z1"/>
  <sheetViews>
    <sheetView zoomScale="90" zoomScaleNormal="90" workbookViewId="0">
      <selection sqref="A1:XFD1048576"/>
    </sheetView>
  </sheetViews>
  <sheetFormatPr defaultColWidth="8.85546875" defaultRowHeight="15" customHeight="1" x14ac:dyDescent="0.25"/>
  <cols>
    <col min="1" max="1" width="58.7109375" bestFit="1" customWidth="1"/>
    <col min="2" max="2" width="14.28515625" style="40" bestFit="1" customWidth="1"/>
    <col min="3" max="3" width="6.140625" style="40" bestFit="1" customWidth="1"/>
    <col min="4" max="5" width="4.7109375" style="40" bestFit="1" customWidth="1"/>
    <col min="6" max="12" width="6.140625" style="40" bestFit="1" customWidth="1"/>
    <col min="13" max="13" width="7.140625" style="40" bestFit="1" customWidth="1"/>
    <col min="14" max="14" width="6.140625" style="40" bestFit="1" customWidth="1"/>
    <col min="15" max="18" width="5.7109375" style="40" customWidth="1"/>
    <col min="19" max="26" width="9" style="40" customWidth="1"/>
  </cols>
  <sheetData/>
  <pageMargins left="0.7" right="0.7" top="0.75" bottom="0.75" header="0.3" footer="0.3"/>
  <pageSetup paperSize="9" orientation="landscape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>
    <tabColor rgb="FFFFC000"/>
  </sheetPr>
  <dimension ref="A1"/>
  <sheetViews>
    <sheetView zoomScale="90" zoomScaleNormal="90" workbookViewId="0">
      <selection activeCell="W21" sqref="W21"/>
    </sheetView>
  </sheetViews>
  <sheetFormatPr defaultColWidth="8.85546875" defaultRowHeight="15" customHeight="1" x14ac:dyDescent="0.25"/>
  <cols>
    <col min="1" max="1" width="25.7109375" customWidth="1"/>
    <col min="2" max="19" width="5.7109375" customWidth="1"/>
  </cols>
  <sheetData/>
  <pageMargins left="0.7" right="0.7" top="0.75" bottom="0.75" header="0.3" footer="0.3"/>
  <pageSetup paperSize="9" orientation="landscape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3">
    <tabColor rgb="FFFFC000"/>
  </sheetPr>
  <dimension ref="A1"/>
  <sheetViews>
    <sheetView zoomScale="90" zoomScaleNormal="90" workbookViewId="0">
      <selection activeCell="B1" sqref="B1:S1048576"/>
    </sheetView>
  </sheetViews>
  <sheetFormatPr defaultColWidth="8.85546875" defaultRowHeight="15" customHeight="1" x14ac:dyDescent="0.25"/>
  <cols>
    <col min="1" max="1" width="25.7109375" customWidth="1"/>
    <col min="2" max="19" width="5.7109375" customWidth="1"/>
  </cols>
  <sheetData/>
  <pageMargins left="0.7" right="0.7" top="0.75" bottom="0.75" header="0.3" footer="0.3"/>
  <pageSetup paperSize="9"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38</vt:i4>
      </vt:variant>
    </vt:vector>
  </HeadingPairs>
  <TitlesOfParts>
    <vt:vector size="56" baseType="lpstr">
      <vt:lpstr>Template Selection</vt:lpstr>
      <vt:lpstr>Inputs and assumptions </vt:lpstr>
      <vt:lpstr>Summary Page for Building Data</vt:lpstr>
      <vt:lpstr>Optimize Contribution</vt:lpstr>
      <vt:lpstr>Summary</vt:lpstr>
      <vt:lpstr>Future Value Calculator</vt:lpstr>
      <vt:lpstr>Splits - Info</vt:lpstr>
      <vt:lpstr>Contribution Splits</vt:lpstr>
      <vt:lpstr>shtbl1</vt:lpstr>
      <vt:lpstr>shtbl2</vt:lpstr>
      <vt:lpstr>shtbl3</vt:lpstr>
      <vt:lpstr>shtbl4</vt:lpstr>
      <vt:lpstr>shtbl5</vt:lpstr>
      <vt:lpstr>shtbl6</vt:lpstr>
      <vt:lpstr>shtbl7</vt:lpstr>
      <vt:lpstr>shtbl8</vt:lpstr>
      <vt:lpstr>shtbl9</vt:lpstr>
      <vt:lpstr>shtbl10</vt:lpstr>
      <vt:lpstr>AverageColosingBalanceGoal</vt:lpstr>
      <vt:lpstr>AverageGoal</vt:lpstr>
      <vt:lpstr>BD_Title_Items</vt:lpstr>
      <vt:lpstr>BD_Title_NextDue</vt:lpstr>
      <vt:lpstr>BD_Title_PresentValue</vt:lpstr>
      <vt:lpstr>BD_Title_Scope</vt:lpstr>
      <vt:lpstr>BD_Title_TotalLife</vt:lpstr>
      <vt:lpstr>ColosingBalanceGoal</vt:lpstr>
      <vt:lpstr>ContrFrom</vt:lpstr>
      <vt:lpstr>ContrTo</vt:lpstr>
      <vt:lpstr>FVC_CompoundingPeriods</vt:lpstr>
      <vt:lpstr>FVC_CPI</vt:lpstr>
      <vt:lpstr>FVC_Table_Prediction</vt:lpstr>
      <vt:lpstr>FVC_Term</vt:lpstr>
      <vt:lpstr>FVC_Title_ExpenditureItem</vt:lpstr>
      <vt:lpstr>FVC_Title_PresentValue</vt:lpstr>
      <vt:lpstr>FVC_Title_Years</vt:lpstr>
      <vt:lpstr>IA_ContingencyAllowance</vt:lpstr>
      <vt:lpstr>IA_CPI</vt:lpstr>
      <vt:lpstr>IA_CurrentBalance</vt:lpstr>
      <vt:lpstr>IA_FundLevy</vt:lpstr>
      <vt:lpstr>IA_ProjectionYears</vt:lpstr>
      <vt:lpstr>IA_ReturnRate</vt:lpstr>
      <vt:lpstr>myNamedRange</vt:lpstr>
      <vt:lpstr>OC_Title_CloseingBalance</vt:lpstr>
      <vt:lpstr>OC_Title_ContingencyAllowance</vt:lpstr>
      <vt:lpstr>OC_Title_ContributionIncreaseRate</vt:lpstr>
      <vt:lpstr>OC_Title_ContributionPerLot</vt:lpstr>
      <vt:lpstr>OC_Title_Expense</vt:lpstr>
      <vt:lpstr>OC_Title_Interest</vt:lpstr>
      <vt:lpstr>OC_Title_OpeningBalance</vt:lpstr>
      <vt:lpstr>OC_Title_RecommandationContribution</vt:lpstr>
      <vt:lpstr>OC_Title_Year</vt:lpstr>
      <vt:lpstr>OC_Title_YearEnding</vt:lpstr>
      <vt:lpstr>S_Title_CurrentBalance</vt:lpstr>
      <vt:lpstr>S_Title_DifferenceRequired</vt:lpstr>
      <vt:lpstr>S_Title_Scope</vt:lpstr>
      <vt:lpstr>S_Title_TotalCapital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Sp 36700</dc:title>
  <dc:subject/>
  <dc:creator>Joseph Bechara</dc:creator>
  <cp:keywords>Report</cp:keywords>
  <dc:description/>
  <cp:lastModifiedBy>Allan Bechara</cp:lastModifiedBy>
  <cp:revision/>
  <dcterms:created xsi:type="dcterms:W3CDTF">2020-01-27T07:06:52Z</dcterms:created>
  <dcterms:modified xsi:type="dcterms:W3CDTF">2026-06-29T04:00:50Z</dcterms:modified>
  <cp:category/>
  <cp:contentStatus/>
</cp:coreProperties>
</file>